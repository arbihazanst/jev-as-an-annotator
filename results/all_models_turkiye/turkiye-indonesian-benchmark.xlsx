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e862a694e43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rkiye" sheetId="1" r:id="Rb71c923d39784657"/>
    <x:sheet xmlns:r="http://schemas.openxmlformats.org/officeDocument/2006/relationships" name="Indonesian" sheetId="2" r:id="R741b24dbce9c470d"/>
    <x:sheet xmlns:r="http://schemas.openxmlformats.org/officeDocument/2006/relationships" name="Combined" sheetId="3" r:id="R45255ceb628243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E+00"/>
    <x:numFmt numFmtId="202" formatCode="#,##0"/>
  </x:numFmts>
  <x:fonts count="9">
    <x:font>
      <x:sz val="11"/>
      <x:name val="Carlito"/>
    </x:font>
    <x:font>
      <x:sz val="13"/>
      <x:color rgb="FF111111"/>
      <x:name val="Times New Roman"/>
    </x:font>
    <x:font>
      <x:b/>
      <x:sz val="14"/>
      <x:color rgb="FF08789A"/>
      <x:name val="Arial"/>
    </x:font>
    <x:font>
      <x:b/>
      <x:sz val="14"/>
      <x:color rgb="FF000000"/>
      <x:name val="Arial"/>
    </x:font>
    <x:font>
      <x:sz val="11"/>
      <x:color rgb="FF444444"/>
      <x:name val="Times New Roman"/>
    </x:font>
    <x:font>
      <x:b/>
      <x:sz val="13"/>
      <x:color rgb="FF000000"/>
      <x:name val="Times New Roman"/>
    </x:font>
    <x:font>
      <x:sz val="13"/>
      <x:color rgb="FF111111"/>
      <x:name val="Times New Roman"/>
    </x:font>
    <x:font>
      <x:b/>
      <x:sz val="13"/>
      <x:color rgb="FF111111"/>
      <x:name val="Times New Roman"/>
    </x:font>
    <x:font>
      <x:sz val="13"/>
      <x:color rgb="FF111111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4">
    <x:border/>
    <x:border>
      <x:top style="thin">
        <x:color rgb="FF111111"/>
      </x:top>
      <x:bottom style="thin">
        <x:color rgb="FF111111"/>
      </x:bottom>
    </x:border>
    <x:border>
      <x:bottom style="thin">
        <x:color rgb="FF111111"/>
      </x:bottom>
    </x:border>
    <x:border>
      <x:top style="hair">
        <x:color rgb="FFA0A0A0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0" fontId="1" fillId="2" borderId="2" xfId="0" applyNumberFormat="1" applyFont="1" applyFill="1" applyBorder="1" applyAlignment="1">
      <x:alignment horizontal="right" vertical="center"/>
    </x:xf>
    <x:xf numFmtId="200" fontId="6" fillId="2" borderId="0" xfId="0" applyNumberFormat="1" applyFont="1" applyFill="1" applyBorder="1" applyAlignment="1">
      <x:alignment horizontal="right" vertical="center"/>
    </x:xf>
    <x:xf numFmtId="200" fontId="7" fillId="2" borderId="0" xfId="0" applyNumberFormat="1" applyFont="1" applyFill="1" applyBorder="1" applyAlignment="1">
      <x:alignment horizontal="right" vertical="center"/>
    </x:xf>
    <x:xf numFmtId="200" fontId="6" fillId="2" borderId="2" xfId="0" applyNumberFormat="1" applyFont="1" applyFill="1" applyBorder="1" applyAlignment="1">
      <x:alignment horizontal="right" vertical="center"/>
    </x:xf>
    <x:xf numFmtId="200" fontId="7" fillId="2" borderId="2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1" fontId="1" fillId="2" borderId="2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horizontal="right" vertical="center"/>
    </x:xf>
    <x:xf numFmtId="202" fontId="1" fillId="2" borderId="2" xfId="0" applyNumberFormat="1" applyFont="1" applyFill="1" applyBorder="1" applyAlignment="1">
      <x:alignment horizontal="right" vertical="center"/>
    </x:xf>
    <x:xf numFmtId="0" fontId="1" fillId="2" borderId="3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right" vertical="center"/>
    </x:xf>
    <x:xf numFmtId="200" fontId="1" fillId="2" borderId="3" xfId="0" applyNumberFormat="1" applyFont="1" applyFill="1" applyBorder="1" applyAlignment="1">
      <x:alignment horizontal="right" vertical="center"/>
    </x:xf>
    <x:xf numFmtId="200" fontId="6" fillId="2" borderId="3" xfId="0" applyNumberFormat="1" applyFont="1" applyFill="1" applyBorder="1" applyAlignment="1">
      <x:alignment horizontal="right" vertical="center"/>
    </x:xf>
    <x:xf numFmtId="200" fontId="7" fillId="2" borderId="3" xfId="0" applyNumberFormat="1" applyFont="1" applyFill="1" applyBorder="1" applyAlignment="1">
      <x:alignment horizontal="right" vertical="center"/>
    </x:xf>
    <x:xf numFmtId="201" fontId="1" fillId="2" borderId="3" xfId="0" applyNumberFormat="1" applyFont="1" applyFill="1" applyBorder="1" applyAlignment="1">
      <x:alignment horizontal="right" vertical="center"/>
    </x:xf>
    <x:xf numFmtId="202" fontId="1" fillId="2" borderId="3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2" xfId="0" applyNumberFormat="1" applyFont="1" applyFill="1" applyBorder="1" applyAlignment="1">
      <x:alignment horizontal="left" vertical="center"/>
    </x:xf>
    <x:xf numFmtId="200" fontId="1" fillId="3" borderId="2" xfId="0" applyNumberFormat="1" applyFont="1" applyFill="1" applyBorder="1" applyAlignment="1">
      <x:alignment horizontal="right" vertical="center"/>
    </x:xf>
    <x:xf numFmtId="200" fontId="8" fillId="3" borderId="0" xfId="0" applyNumberFormat="1" applyFont="1" applyFill="1" applyBorder="1" applyAlignment="1">
      <x:alignment horizontal="right" vertical="center"/>
    </x:xf>
    <x:xf numFmtId="200" fontId="7" fillId="3" borderId="2" xfId="0" applyNumberFormat="1" applyFont="1" applyFill="1" applyBorder="1" applyAlignment="1">
      <x:alignment horizontal="right" vertical="center"/>
    </x:xf>
    <x:xf numFmtId="200" fontId="7" fillId="3" borderId="0" xfId="0" applyNumberFormat="1" applyFont="1" applyFill="1" applyBorder="1" applyAlignment="1">
      <x:alignment horizontal="right" vertical="center"/>
    </x:xf>
    <x:xf numFmtId="200" fontId="8" fillId="3" borderId="2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2" fontId="1" fillId="3" borderId="2" xfId="0" applyNumberFormat="1" applyFont="1" applyFill="1" applyBorder="1" applyAlignment="1">
      <x:alignment horizontal="right" vertical="center"/>
    </x:xf>
    <x:xf numFmtId="0" fontId="1" fillId="3" borderId="3" xfId="0" applyNumberFormat="1" applyFont="1" applyFill="1" applyBorder="1" applyAlignment="1">
      <x:alignment horizontal="left" vertical="center"/>
    </x:xf>
    <x:xf numFmtId="200" fontId="1" fillId="3" borderId="3" xfId="0" applyNumberFormat="1" applyFont="1" applyFill="1" applyBorder="1" applyAlignment="1">
      <x:alignment horizontal="right" vertical="center"/>
    </x:xf>
    <x:xf numFmtId="200" fontId="8" fillId="3" borderId="3" xfId="0" applyNumberFormat="1" applyFont="1" applyFill="1" applyBorder="1" applyAlignment="1">
      <x:alignment horizontal="right" vertical="center"/>
    </x:xf>
    <x:xf numFmtId="200" fontId="7" fillId="3" borderId="3" xfId="0" applyNumberFormat="1" applyFont="1" applyFill="1" applyBorder="1" applyAlignment="1">
      <x:alignment horizontal="right" vertical="center"/>
    </x:xf>
    <x:xf numFmtId="202" fontId="1" fillId="3" borderId="3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452"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393c68ad8c4d3a" /><Relationship Type="http://schemas.openxmlformats.org/officeDocument/2006/relationships/theme" Target="/xl/theme/theme1.xml" Id="R0beee67874d94a27" /><Relationship Type="http://schemas.openxmlformats.org/officeDocument/2006/relationships/sharedStrings" Target="/xl/sharedStrings.xml" Id="Rfcd0acd83bdd480f" /><Relationship Type="http://schemas.openxmlformats.org/officeDocument/2006/relationships/worksheet" Target="/xl/worksheets/sheet1.xml" Id="Rb71c923d39784657" /><Relationship Type="http://schemas.openxmlformats.org/officeDocument/2006/relationships/worksheet" Target="/xl/worksheets/sheet2.xml" Id="R741b24dbce9c470d" /><Relationship Type="http://schemas.openxmlformats.org/officeDocument/2006/relationships/worksheet" Target="/xl/worksheets/sheet3.xml" Id="R45255ceb628243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8789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.5" hidden="0" customWidth="1"/>
    <x:col min="2" max="2" width="31.25" hidden="0" customWidth="1"/>
    <x:col min="3" max="3" width="18.5" hidden="0" customWidth="1"/>
    <x:col min="4" max="4" width="18.5" hidden="0" customWidth="1"/>
    <x:col min="5" max="5" width="18.5" hidden="0" customWidth="1"/>
    <x:col min="6" max="6" width="18.5" hidden="0" customWidth="1"/>
    <x:col min="7" max="7" width="18.5" hidden="0" customWidth="1"/>
    <x:col min="8" max="8" width="18.5" hidden="0" customWidth="1"/>
    <x:col min="9" max="9" width="18.5" hidden="0" customWidth="1"/>
    <x:col min="10" max="10" width="18.5" hidden="0" customWidth="1"/>
    <x:col min="11" max="11" width="18.5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9" customHeight="1">
      <x:c r="A2" s="3"/>
      <x:c r="B2" s="4" t="str">
        <x:v>TABLE 1.</x:v>
      </x:c>
      <x:c r="C2" s="5" t="str">
        <x:v>Sentiment classification performance.</x:v>
      </x:c>
      <x:c r="D2" s="5"/>
      <x:c r="E2" s="5"/>
      <x:c r="F2" s="5"/>
      <x:c r="G2" s="3"/>
      <x:c r="H2" s="3"/>
      <x:c r="I2" s="3"/>
      <x:c r="J2" s="3"/>
    </x:row>
    <x:row r="3" ht="21" customHeight="1">
      <x:c r="A3" s="3"/>
      <x:c r="B3" s="6" t="str">
        <x:v>Türkiye: sentiment_tr, n = 12,760</x:v>
      </x:c>
      <x:c r="C3" s="6"/>
      <x:c r="D3" s="6"/>
      <x:c r="E3" s="6"/>
      <x:c r="F3" s="6"/>
      <x:c r="G3" s="3"/>
      <x:c r="H3" s="3"/>
      <x:c r="I3" s="3"/>
      <x:c r="J3" s="3"/>
    </x:row>
    <x:row r="4" ht="9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42" customHeight="1">
      <x:c r="A5" s="3"/>
      <x:c r="B5" s="11" t="str">
        <x:v>Model</x:v>
      </x:c>
      <x:c r="C5" s="10" t="str">
        <x:v>Accuracy</x:v>
      </x:c>
      <x:c r="D5" s="10" t="str">
        <x:v>Balanced
Accuracy</x:v>
      </x:c>
      <x:c r="E5" s="10" t="str">
        <x:v>Macro-F1</x:v>
      </x:c>
      <x:c r="F5" s="10" t="str">
        <x:v>Weighted-F1</x:v>
      </x:c>
      <x:c r="G5" s="3"/>
      <x:c r="H5" s="3"/>
      <x:c r="I5" s="3"/>
      <x:c r="J5" s="3"/>
    </x:row>
    <x:row r="6" ht="24" customHeight="1">
      <x:c r="A6" s="3"/>
      <x:c r="B6" s="12" t="str">
        <x:v>nimble:9b</x:v>
      </x:c>
      <x:c r="C6" s="18" t="n">
        <x:v>0.7760971786833856</x:v>
      </x:c>
      <x:c r="D6" s="18" t="n">
        <x:v>0.6420444889721574</x:v>
      </x:c>
      <x:c r="E6" s="18" t="n">
        <x:v>0.6255952736069749</x:v>
      </x:c>
      <x:c r="F6" s="18" t="n">
        <x:v>0.74384902834354</x:v>
      </x:c>
      <x:c r="G6" s="3"/>
      <x:c r="H6" s="3"/>
      <x:c r="I6" s="3"/>
      <x:c r="J6" s="3"/>
    </x:row>
    <x:row r="7" ht="24" customHeight="1">
      <x:c r="A7" s="3"/>
      <x:c r="B7" s="12" t="str">
        <x:v>tev1:0.8b</x:v>
      </x:c>
      <x:c r="C7" s="18" t="n">
        <x:v>0.7296238244514106</x:v>
      </x:c>
      <x:c r="D7" s="18" t="n">
        <x:v>0.6270613295451795</x:v>
      </x:c>
      <x:c r="E7" s="18" t="n">
        <x:v>0.6082490422699799</x:v>
      </x:c>
      <x:c r="F7" s="18" t="n">
        <x:v>0.717198483896461</x:v>
      </x:c>
      <x:c r="G7" s="3"/>
      <x:c r="H7" s="3"/>
      <x:c r="I7" s="3"/>
      <x:c r="J7" s="3"/>
    </x:row>
    <x:row r="8" ht="24" customHeight="1">
      <x:c r="A8" s="3"/>
      <x:c r="B8" s="12" t="str">
        <x:v>tev1:4b</x:v>
      </x:c>
      <x:c r="C8" s="19" t="n">
        <x:v>0.7877742946708464</x:v>
      </x:c>
      <x:c r="D8" s="19" t="n">
        <x:v>0.6737569254042018</x:v>
      </x:c>
      <x:c r="E8" s="19" t="n">
        <x:v>0.6752599831550202</x:v>
      </x:c>
      <x:c r="F8" s="19" t="n">
        <x:v>0.7720257413553878</x:v>
      </x:c>
      <x:c r="G8" s="3"/>
      <x:c r="H8" s="3"/>
      <x:c r="I8" s="3"/>
      <x:c r="J8" s="3"/>
    </x:row>
    <x:row r="9" ht="24" customHeight="1">
      <x:c r="A9" s="3"/>
      <x:c r="B9" s="14" t="str">
        <x:v>typesafe/jev-1.13</x:v>
      </x:c>
      <x:c r="C9" s="20" t="n">
        <x:v>0.7746865203761756</x:v>
      </x:c>
      <x:c r="D9" s="20" t="n">
        <x:v>0.6486062757709893</x:v>
      </x:c>
      <x:c r="E9" s="20" t="n">
        <x:v>0.6120573235331662</x:v>
      </x:c>
      <x:c r="F9" s="20" t="n">
        <x:v>0.7427881772282183</x:v>
      </x:c>
      <x:c r="G9" s="3"/>
      <x:c r="H9" s="3"/>
      <x:c r="I9" s="3"/>
      <x:c r="J9" s="3"/>
    </x:row>
    <x:row r="10" ht="24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</x:row>
    <x:row r="11" ht="24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</x:row>
    <x:row r="12" ht="29" customHeight="1">
      <x:c r="A12" s="3"/>
      <x:c r="B12" s="4" t="str">
        <x:v>TABLE 2.</x:v>
      </x:c>
      <x:c r="C12" s="5" t="str">
        <x:v>Emotion classification performance.</x:v>
      </x:c>
      <x:c r="D12" s="5"/>
      <x:c r="E12" s="5"/>
      <x:c r="F12" s="5"/>
      <x:c r="G12" s="3"/>
      <x:c r="H12" s="3"/>
      <x:c r="I12" s="3"/>
      <x:c r="J12" s="3"/>
    </x:row>
    <x:row r="13" ht="21" customHeight="1">
      <x:c r="A13" s="3"/>
      <x:c r="B13" s="6" t="str">
        <x:v>Türkiye: emotion_tr, n = 4,403</x:v>
      </x:c>
      <x:c r="C13" s="6"/>
      <x:c r="D13" s="6"/>
      <x:c r="E13" s="6"/>
      <x:c r="F13" s="6"/>
      <x:c r="G13" s="3"/>
      <x:c r="H13" s="3"/>
      <x:c r="I13" s="3"/>
      <x:c r="J13" s="3"/>
    </x:row>
    <x:row r="14" ht="9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</x:row>
    <x:row r="15" ht="42" customHeight="1">
      <x:c r="A15" s="3"/>
      <x:c r="B15" s="11" t="str">
        <x:v>Model</x:v>
      </x:c>
      <x:c r="C15" s="10" t="str">
        <x:v>Accuracy</x:v>
      </x:c>
      <x:c r="D15" s="10" t="str">
        <x:v>Balanced
Accuracy</x:v>
      </x:c>
      <x:c r="E15" s="10" t="str">
        <x:v>Macro-F1</x:v>
      </x:c>
      <x:c r="F15" s="10" t="str">
        <x:v>Weighted-F1</x:v>
      </x:c>
      <x:c r="G15" s="3"/>
      <x:c r="H15" s="3"/>
      <x:c r="I15" s="3"/>
      <x:c r="J15" s="3"/>
    </x:row>
    <x:row r="16" ht="24" customHeight="1">
      <x:c r="A16" s="3"/>
      <x:c r="B16" s="12" t="str">
        <x:v>nimble:9b</x:v>
      </x:c>
      <x:c r="C16" s="18" t="n">
        <x:v>0.7138314785373608</x:v>
      </x:c>
      <x:c r="D16" s="18" t="n">
        <x:v>0.7138087774294671</x:v>
      </x:c>
      <x:c r="E16" s="18" t="n">
        <x:v>0.711551551667003</x:v>
      </x:c>
      <x:c r="F16" s="18" t="n">
        <x:v>0.7115608978473723</x:v>
      </x:c>
      <x:c r="G16" s="3"/>
      <x:c r="H16" s="3"/>
      <x:c r="I16" s="3"/>
      <x:c r="J16" s="3"/>
    </x:row>
    <x:row r="17" ht="24" customHeight="1">
      <x:c r="A17" s="3"/>
      <x:c r="B17" s="12" t="str">
        <x:v>tev1:0.8b</x:v>
      </x:c>
      <x:c r="C17" s="18" t="n">
        <x:v>0.4456052691346809</x:v>
      </x:c>
      <x:c r="D17" s="18" t="n">
        <x:v>0.4455968487048342</x:v>
      </x:c>
      <x:c r="E17" s="18" t="n">
        <x:v>0.44160034561160766</x:v>
      </x:c>
      <x:c r="F17" s="18" t="n">
        <x:v>0.4415667582324577</x:v>
      </x:c>
      <x:c r="G17" s="3"/>
      <x:c r="H17" s="3"/>
      <x:c r="I17" s="3"/>
      <x:c r="J17" s="3"/>
    </x:row>
    <x:row r="18" ht="24" customHeight="1">
      <x:c r="A18" s="3"/>
      <x:c r="B18" s="12" t="str">
        <x:v>tev1:4b</x:v>
      </x:c>
      <x:c r="C18" s="18" t="n">
        <x:v>0.6625028389734272</x:v>
      </x:c>
      <x:c r="D18" s="18" t="n">
        <x:v>0.6625045372050817</x:v>
      </x:c>
      <x:c r="E18" s="18" t="n">
        <x:v>0.6579680573949642</x:v>
      </x:c>
      <x:c r="F18" s="18" t="n">
        <x:v>0.6579525205986398</x:v>
      </x:c>
      <x:c r="G18" s="3"/>
      <x:c r="H18" s="3"/>
      <x:c r="I18" s="3"/>
      <x:c r="J18" s="3"/>
    </x:row>
    <x:row r="19" ht="24" customHeight="1">
      <x:c r="A19" s="3"/>
      <x:c r="B19" s="14" t="str">
        <x:v>typesafe/jev-1.13</x:v>
      </x:c>
      <x:c r="C19" s="21" t="n">
        <x:v>0.75584828526005</x:v>
      </x:c>
      <x:c r="D19" s="21" t="n">
        <x:v>0.7558241214321069</x:v>
      </x:c>
      <x:c r="E19" s="21" t="n">
        <x:v>0.7561817543236771</x:v>
      </x:c>
      <x:c r="F19" s="21" t="n">
        <x:v>0.7561937201671698</x:v>
      </x:c>
      <x:c r="G19" s="3"/>
      <x:c r="H19" s="3"/>
      <x:c r="I19" s="3"/>
      <x:c r="J19" s="3"/>
    </x:row>
    <x:row r="20" ht="24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</x:row>
    <x:row r="21" ht="24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</x:row>
    <x:row r="22" ht="29" customHeight="1">
      <x:c r="A22" s="3"/>
      <x:c r="B22" s="4" t="str">
        <x:v>TABLE 3.</x:v>
      </x:c>
      <x:c r="C22" s="5" t="str">
        <x:v>Sentiment confidence intervals.</x:v>
      </x:c>
      <x:c r="D22" s="5"/>
      <x:c r="E22" s="5"/>
      <x:c r="F22" s="5"/>
      <x:c r="G22" s="3"/>
      <x:c r="H22" s="3"/>
      <x:c r="I22" s="3"/>
      <x:c r="J22" s="3"/>
    </x:row>
    <x:row r="23" ht="21" customHeight="1">
      <x:c r="A23" s="3"/>
      <x:c r="B23" s="6" t="str">
        <x:v>Türkiye: sentiment_tr, n = 12,760</x:v>
      </x:c>
      <x:c r="C23" s="6"/>
      <x:c r="D23" s="6"/>
      <x:c r="E23" s="6"/>
      <x:c r="F23" s="6"/>
      <x:c r="G23" s="3"/>
      <x:c r="H23" s="3"/>
      <x:c r="I23" s="3"/>
      <x:c r="J23" s="3"/>
    </x:row>
    <x:row r="24" ht="9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</x:row>
    <x:row r="25" ht="42" customHeight="1">
      <x:c r="A25" s="3"/>
      <x:c r="B25" s="11" t="str">
        <x:v>Model</x:v>
      </x:c>
      <x:c r="C25" s="10" t="str">
        <x:v>Accuracy
Lower</x:v>
      </x:c>
      <x:c r="D25" s="10" t="str">
        <x:v>Accuracy
Upper</x:v>
      </x:c>
      <x:c r="E25" s="10" t="str">
        <x:v>Macro-F1
Lower</x:v>
      </x:c>
      <x:c r="F25" s="10" t="str">
        <x:v>Macro-F1
Upper</x:v>
      </x:c>
      <x:c r="G25" s="3"/>
      <x:c r="H25" s="3"/>
      <x:c r="I25" s="3"/>
      <x:c r="J25" s="3"/>
    </x:row>
    <x:row r="26" ht="24" customHeight="1">
      <x:c r="A26" s="3"/>
      <x:c r="B26" s="12" t="str">
        <x:v>nimble:9b</x:v>
      </x:c>
      <x:c r="C26" s="16" t="n">
        <x:v>0.770685736677116</x:v>
      </x:c>
      <x:c r="D26" s="16" t="n">
        <x:v>0.7813479623824452</x:v>
      </x:c>
      <x:c r="E26" s="16" t="n">
        <x:v>0.6172150210693468</x:v>
      </x:c>
      <x:c r="F26" s="16" t="n">
        <x:v>0.6335706053728195</x:v>
      </x:c>
      <x:c r="G26" s="3"/>
      <x:c r="H26" s="3"/>
      <x:c r="I26" s="3"/>
      <x:c r="J26" s="3"/>
    </x:row>
    <x:row r="27" ht="24" customHeight="1">
      <x:c r="A27" s="3"/>
      <x:c r="B27" s="12" t="str">
        <x:v>tev1:0.8b</x:v>
      </x:c>
      <x:c r="C27" s="16" t="n">
        <x:v>0.7230407523510972</x:v>
      </x:c>
      <x:c r="D27" s="16" t="n">
        <x:v>0.7358934169278997</x:v>
      </x:c>
      <x:c r="E27" s="16" t="n">
        <x:v>0.599522534207368</x:v>
      </x:c>
      <x:c r="F27" s="16" t="n">
        <x:v>0.6168129747375256</x:v>
      </x:c>
      <x:c r="G27" s="3"/>
      <x:c r="H27" s="3"/>
      <x:c r="I27" s="3"/>
      <x:c r="J27" s="3"/>
    </x:row>
    <x:row r="28" ht="24" customHeight="1">
      <x:c r="A28" s="3"/>
      <x:c r="B28" s="12" t="str">
        <x:v>tev1:4b</x:v>
      </x:c>
      <x:c r="C28" s="16" t="n">
        <x:v>0.7815027429467085</x:v>
      </x:c>
      <x:c r="D28" s="16" t="n">
        <x:v>0.7933405172413793</x:v>
      </x:c>
      <x:c r="E28" s="16" t="n">
        <x:v>0.6659518960305314</x:v>
      </x:c>
      <x:c r="F28" s="16" t="n">
        <x:v>0.6843328072057725</x:v>
      </x:c>
      <x:c r="G28" s="3"/>
      <x:c r="H28" s="3"/>
      <x:c r="I28" s="3"/>
      <x:c r="J28" s="3"/>
    </x:row>
    <x:row r="29" ht="24" customHeight="1">
      <x:c r="A29" s="3"/>
      <x:c r="B29" s="14" t="str">
        <x:v>typesafe/jev-1.13</x:v>
      </x:c>
      <x:c r="C29" s="17" t="n">
        <x:v>0.7693573667711598</x:v>
      </x:c>
      <x:c r="D29" s="17" t="n">
        <x:v>0.7797805642633229</x:v>
      </x:c>
      <x:c r="E29" s="17" t="n">
        <x:v>0.6034083109370219</x:v>
      </x:c>
      <x:c r="F29" s="17" t="n">
        <x:v>0.6202707542559104</x:v>
      </x:c>
      <x:c r="G29" s="3"/>
      <x:c r="H29" s="3"/>
      <x:c r="I29" s="3"/>
      <x:c r="J29" s="3"/>
    </x:row>
    <x:row r="30" ht="24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</x:row>
    <x:row r="31" ht="24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</x:row>
    <x:row r="32" ht="29" customHeight="1">
      <x:c r="A32" s="3"/>
      <x:c r="B32" s="4" t="str">
        <x:v>TABLE 4.</x:v>
      </x:c>
      <x:c r="C32" s="5" t="str">
        <x:v>Emotion confidence intervals.</x:v>
      </x:c>
      <x:c r="D32" s="5"/>
      <x:c r="E32" s="5"/>
      <x:c r="F32" s="5"/>
      <x:c r="G32" s="3"/>
      <x:c r="H32" s="3"/>
      <x:c r="I32" s="3"/>
      <x:c r="J32" s="3"/>
    </x:row>
    <x:row r="33" ht="21" customHeight="1">
      <x:c r="A33" s="3"/>
      <x:c r="B33" s="6" t="str">
        <x:v>Türkiye: emotion_tr, n = 4,403</x:v>
      </x:c>
      <x:c r="C33" s="6"/>
      <x:c r="D33" s="6"/>
      <x:c r="E33" s="6"/>
      <x:c r="F33" s="6"/>
      <x:c r="G33" s="3"/>
      <x:c r="H33" s="3"/>
      <x:c r="I33" s="3"/>
      <x:c r="J33" s="3"/>
    </x:row>
    <x:row r="34" ht="9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</x:row>
    <x:row r="35" ht="42" customHeight="1">
      <x:c r="A35" s="3"/>
      <x:c r="B35" s="11" t="str">
        <x:v>Model</x:v>
      </x:c>
      <x:c r="C35" s="10" t="str">
        <x:v>Accuracy
Lower</x:v>
      </x:c>
      <x:c r="D35" s="10" t="str">
        <x:v>Accuracy
Upper</x:v>
      </x:c>
      <x:c r="E35" s="10" t="str">
        <x:v>Macro-F1
Lower</x:v>
      </x:c>
      <x:c r="F35" s="10" t="str">
        <x:v>Macro-F1
Upper</x:v>
      </x:c>
      <x:c r="G35" s="3"/>
      <x:c r="H35" s="3"/>
      <x:c r="I35" s="3"/>
      <x:c r="J35" s="3"/>
    </x:row>
    <x:row r="36" ht="24" customHeight="1">
      <x:c r="A36" s="3"/>
      <x:c r="B36" s="12" t="str">
        <x:v>nimble:9b</x:v>
      </x:c>
      <x:c r="C36" s="16" t="n">
        <x:v>0.7006529638882579</x:v>
      </x:c>
      <x:c r="D36" s="16" t="n">
        <x:v>0.7265500794912559</x:v>
      </x:c>
      <x:c r="E36" s="16" t="n">
        <x:v>0.6980687000011012</x:v>
      </x:c>
      <x:c r="F36" s="16" t="n">
        <x:v>0.7246624847474609</x:v>
      </x:c>
      <x:c r="G36" s="3"/>
      <x:c r="H36" s="3"/>
      <x:c r="I36" s="3"/>
      <x:c r="J36" s="3"/>
    </x:row>
    <x:row r="37" ht="24" customHeight="1">
      <x:c r="A37" s="3"/>
      <x:c r="B37" s="12" t="str">
        <x:v>tev1:0.8b</x:v>
      </x:c>
      <x:c r="C37" s="16" t="n">
        <x:v>0.43265955030660913</x:v>
      </x:c>
      <x:c r="D37" s="16" t="n">
        <x:v>0.4590052237111061</x:v>
      </x:c>
      <x:c r="E37" s="16" t="n">
        <x:v>0.4273256718900786</x:v>
      </x:c>
      <x:c r="F37" s="16" t="n">
        <x:v>0.45540126068180886</x:v>
      </x:c>
      <x:c r="G37" s="3"/>
      <x:c r="H37" s="3"/>
      <x:c r="I37" s="3"/>
      <x:c r="J37" s="3"/>
    </x:row>
    <x:row r="38" ht="24" customHeight="1">
      <x:c r="A38" s="3"/>
      <x:c r="B38" s="12" t="str">
        <x:v>tev1:4b</x:v>
      </x:c>
      <x:c r="C38" s="16" t="n">
        <x:v>0.6495571201453555</x:v>
      </x:c>
      <x:c r="D38" s="16" t="n">
        <x:v>0.6756756756756757</x:v>
      </x:c>
      <x:c r="E38" s="16" t="n">
        <x:v>0.6445261665880212</x:v>
      </x:c>
      <x:c r="F38" s="16" t="n">
        <x:v>0.6709989772261676</x:v>
      </x:c>
      <x:c r="G38" s="3"/>
      <x:c r="H38" s="3"/>
      <x:c r="I38" s="3"/>
      <x:c r="J38" s="3"/>
    </x:row>
    <x:row r="39" ht="24" customHeight="1">
      <x:c r="A39" s="3"/>
      <x:c r="B39" s="14" t="str">
        <x:v>typesafe/jev-1.13</x:v>
      </x:c>
      <x:c r="C39" s="17" t="n">
        <x:v>0.7422155348625936</x:v>
      </x:c>
      <x:c r="D39" s="17" t="n">
        <x:v>0.7676584147172383</x:v>
      </x:c>
      <x:c r="E39" s="17" t="n">
        <x:v>0.7421672060650313</x:v>
      </x:c>
      <x:c r="F39" s="17" t="n">
        <x:v>0.767915349264944</x:v>
      </x:c>
      <x:c r="G39" s="3"/>
      <x:c r="H39" s="3"/>
      <x:c r="I39" s="3"/>
      <x:c r="J39" s="3"/>
    </x:row>
    <x:row r="40" ht="24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</x:row>
    <x:row r="41" ht="24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</x:row>
    <x:row r="42" ht="29" customHeight="1">
      <x:c r="A42" s="3"/>
      <x:c r="B42" s="4" t="str">
        <x:v>TABLE 5.</x:v>
      </x:c>
      <x:c r="C42" s="5" t="str">
        <x:v>Sentiment probability and calibration.</x:v>
      </x:c>
      <x:c r="D42" s="5"/>
      <x:c r="E42" s="5"/>
      <x:c r="F42" s="5"/>
      <x:c r="G42" s="5"/>
      <x:c r="H42" s="3"/>
      <x:c r="I42" s="3"/>
      <x:c r="J42" s="3"/>
    </x:row>
    <x:row r="43" ht="21" customHeight="1">
      <x:c r="A43" s="3"/>
      <x:c r="B43" s="6" t="str">
        <x:v>Türkiye: sentiment_tr, n = 12,760</x:v>
      </x:c>
      <x:c r="C43" s="6"/>
      <x:c r="D43" s="6"/>
      <x:c r="E43" s="6"/>
      <x:c r="F43" s="6"/>
      <x:c r="G43" s="6"/>
      <x:c r="H43" s="3"/>
      <x:c r="I43" s="3"/>
      <x:c r="J43" s="3"/>
    </x:row>
    <x:row r="44" ht="9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</x:row>
    <x:row r="45" ht="42" customHeight="1">
      <x:c r="A45" s="3"/>
      <x:c r="B45" s="11" t="str">
        <x:v>Model</x:v>
      </x:c>
      <x:c r="C45" s="10" t="str">
        <x:v>Log Loss</x:v>
      </x:c>
      <x:c r="D45" s="10" t="str">
        <x:v>Multiclass
Brier</x:v>
      </x:c>
      <x:c r="E45" s="10" t="str">
        <x:v>ECE</x:v>
      </x:c>
      <x:c r="F45" s="10" t="str">
        <x:v>Probability
Coverage</x:v>
      </x:c>
      <x:c r="G45" s="10" t="str">
        <x:v>Max. Probability
Sum Error</x:v>
      </x:c>
      <x:c r="H45" s="3"/>
      <x:c r="I45" s="3"/>
      <x:c r="J45" s="3"/>
    </x:row>
    <x:row r="46" ht="24" customHeight="1">
      <x:c r="A46" s="3"/>
      <x:c r="B46" s="12" t="str">
        <x:v>nimble:9b</x:v>
      </x:c>
      <x:c r="C46" s="18" t="n">
        <x:v>0.761947937878951</x:v>
      </x:c>
      <x:c r="D46" s="18" t="n">
        <x:v>0.35801805200552733</x:v>
      </x:c>
      <x:c r="E46" s="18" t="n">
        <x:v>0.14072258433503737</x:v>
      </x:c>
      <x:c r="F46" s="19" t="n">
        <x:v>1</x:v>
      </x:c>
      <x:c r="G46" s="22" t="n">
        <x:v>3.3306690738754696e-16</x:v>
      </x:c>
      <x:c r="H46" s="3"/>
      <x:c r="I46" s="3"/>
      <x:c r="J46" s="3"/>
    </x:row>
    <x:row r="47" ht="24" customHeight="1">
      <x:c r="A47" s="3"/>
      <x:c r="B47" s="12" t="str">
        <x:v>tev1:0.8b</x:v>
      </x:c>
      <x:c r="C47" s="18" t="n">
        <x:v>0.677999424567297</x:v>
      </x:c>
      <x:c r="D47" s="18" t="n">
        <x:v>0.3735212024177501</x:v>
      </x:c>
      <x:c r="E47" s="18" t="n">
        <x:v>0.06740689185815842</x:v>
      </x:c>
      <x:c r="F47" s="19" t="n">
        <x:v>1</x:v>
      </x:c>
      <x:c r="G47" s="22" t="n">
        <x:v>3.3306690738754696e-16</x:v>
      </x:c>
      <x:c r="H47" s="3"/>
      <x:c r="I47" s="3"/>
      <x:c r="J47" s="3"/>
    </x:row>
    <x:row r="48" ht="24" customHeight="1">
      <x:c r="A48" s="3"/>
      <x:c r="B48" s="12" t="str">
        <x:v>tev1:4b</x:v>
      </x:c>
      <x:c r="C48" s="19" t="n">
        <x:v>0.5445676041629279</x:v>
      </x:c>
      <x:c r="D48" s="19" t="n">
        <x:v>0.29825601668910384</x:v>
      </x:c>
      <x:c r="E48" s="19" t="n">
        <x:v>0.050548261535839564</x:v>
      </x:c>
      <x:c r="F48" s="19" t="n">
        <x:v>1</x:v>
      </x:c>
      <x:c r="G48" s="22" t="n">
        <x:v>3.3306690738754696e-16</x:v>
      </x:c>
      <x:c r="H48" s="3"/>
      <x:c r="I48" s="3"/>
      <x:c r="J48" s="3"/>
    </x:row>
    <x:row r="49" ht="24" customHeight="1">
      <x:c r="A49" s="3"/>
      <x:c r="B49" s="14" t="str">
        <x:v>typesafe/jev-1.13</x:v>
      </x:c>
      <x:c r="C49" s="20" t="n">
        <x:v>2.1904085598807197</x:v>
      </x:c>
      <x:c r="D49" s="20" t="n">
        <x:v>0.357801252767055</x:v>
      </x:c>
      <x:c r="E49" s="20" t="n">
        <x:v>0.14183754472625942</x:v>
      </x:c>
      <x:c r="F49" s="21" t="n">
        <x:v>1</x:v>
      </x:c>
      <x:c r="G49" s="23" t="n">
        <x:v>0.010000000000000009</x:v>
      </x:c>
      <x:c r="H49" s="3"/>
      <x:c r="I49" s="3"/>
      <x:c r="J49" s="3"/>
    </x:row>
    <x:row r="50" ht="24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</x:row>
    <x:row r="51" ht="24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</x:row>
    <x:row r="52" ht="29" customHeight="1">
      <x:c r="A52" s="3"/>
      <x:c r="B52" s="4" t="str">
        <x:v>TABLE 6.</x:v>
      </x:c>
      <x:c r="C52" s="5" t="str">
        <x:v>Emotion probability and calibration.</x:v>
      </x:c>
      <x:c r="D52" s="5"/>
      <x:c r="E52" s="5"/>
      <x:c r="F52" s="5"/>
      <x:c r="G52" s="5"/>
      <x:c r="H52" s="3"/>
      <x:c r="I52" s="3"/>
      <x:c r="J52" s="3"/>
    </x:row>
    <x:row r="53" ht="21" customHeight="1">
      <x:c r="A53" s="3"/>
      <x:c r="B53" s="6" t="str">
        <x:v>Türkiye: emotion_tr, n = 4,403</x:v>
      </x:c>
      <x:c r="C53" s="6"/>
      <x:c r="D53" s="6"/>
      <x:c r="E53" s="6"/>
      <x:c r="F53" s="6"/>
      <x:c r="G53" s="6"/>
      <x:c r="H53" s="3"/>
      <x:c r="I53" s="3"/>
      <x:c r="J53" s="3"/>
    </x:row>
    <x:row r="54" ht="9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</x:row>
    <x:row r="55" ht="42" customHeight="1">
      <x:c r="A55" s="3"/>
      <x:c r="B55" s="11" t="str">
        <x:v>Model</x:v>
      </x:c>
      <x:c r="C55" s="10" t="str">
        <x:v>Log Loss</x:v>
      </x:c>
      <x:c r="D55" s="10" t="str">
        <x:v>Multiclass
Brier</x:v>
      </x:c>
      <x:c r="E55" s="10" t="str">
        <x:v>ECE</x:v>
      </x:c>
      <x:c r="F55" s="10" t="str">
        <x:v>Probability
Coverage</x:v>
      </x:c>
      <x:c r="G55" s="10" t="str">
        <x:v>Max. Probability
Sum Error</x:v>
      </x:c>
      <x:c r="H55" s="3"/>
      <x:c r="I55" s="3"/>
      <x:c r="J55" s="3"/>
    </x:row>
    <x:row r="56" ht="24" customHeight="1">
      <x:c r="A56" s="3"/>
      <x:c r="B56" s="12" t="str">
        <x:v>nimble:9b</x:v>
      </x:c>
      <x:c r="C56" s="19" t="n">
        <x:v>0.9507896767117473</x:v>
      </x:c>
      <x:c r="D56" s="18" t="n">
        <x:v>0.4219734207484434</x:v>
      </x:c>
      <x:c r="E56" s="18" t="n">
        <x:v>0.10318372849110821</x:v>
      </x:c>
      <x:c r="F56" s="19" t="n">
        <x:v>1</x:v>
      </x:c>
      <x:c r="G56" s="22" t="n">
        <x:v>4.440892098500626e-16</x:v>
      </x:c>
      <x:c r="H56" s="3"/>
      <x:c r="I56" s="3"/>
      <x:c r="J56" s="3"/>
    </x:row>
    <x:row r="57" ht="24" customHeight="1">
      <x:c r="A57" s="3"/>
      <x:c r="B57" s="12" t="str">
        <x:v>tev1:0.8b</x:v>
      </x:c>
      <x:c r="C57" s="18" t="n">
        <x:v>1.5970840012993563</x:v>
      </x:c>
      <x:c r="D57" s="18" t="n">
        <x:v>0.6986414741351405</x:v>
      </x:c>
      <x:c r="E57" s="18" t="n">
        <x:v>0.14847141535774266</x:v>
      </x:c>
      <x:c r="F57" s="19" t="n">
        <x:v>1</x:v>
      </x:c>
      <x:c r="G57" s="22" t="n">
        <x:v>4.440892098500626e-16</x:v>
      </x:c>
      <x:c r="H57" s="3"/>
      <x:c r="I57" s="3"/>
      <x:c r="J57" s="3"/>
    </x:row>
    <x:row r="58" ht="24" customHeight="1">
      <x:c r="A58" s="3"/>
      <x:c r="B58" s="12" t="str">
        <x:v>tev1:4b</x:v>
      </x:c>
      <x:c r="C58" s="18" t="n">
        <x:v>1.0292623564712848</x:v>
      </x:c>
      <x:c r="D58" s="18" t="n">
        <x:v>0.46696022129351156</x:v>
      </x:c>
      <x:c r="E58" s="19" t="n">
        <x:v>0.08933575718533342</x:v>
      </x:c>
      <x:c r="F58" s="19" t="n">
        <x:v>1</x:v>
      </x:c>
      <x:c r="G58" s="22" t="n">
        <x:v>5.551115123125783e-16</x:v>
      </x:c>
      <x:c r="H58" s="3"/>
      <x:c r="I58" s="3"/>
      <x:c r="J58" s="3"/>
    </x:row>
    <x:row r="59" ht="24" customHeight="1">
      <x:c r="A59" s="3"/>
      <x:c r="B59" s="14" t="str">
        <x:v>typesafe/jev-1.13</x:v>
      </x:c>
      <x:c r="C59" s="20" t="n">
        <x:v>2.391091743520766</x:v>
      </x:c>
      <x:c r="D59" s="21" t="n">
        <x:v>0.36920664646404394</x:v>
      </x:c>
      <x:c r="E59" s="20" t="n">
        <x:v>0.11837000484059311</x:v>
      </x:c>
      <x:c r="F59" s="21" t="n">
        <x:v>1</x:v>
      </x:c>
      <x:c r="G59" s="23" t="n">
        <x:v>0.010000000000000009</x:v>
      </x:c>
      <x:c r="H59" s="3"/>
      <x:c r="I59" s="3"/>
      <x:c r="J59" s="3"/>
    </x:row>
    <x:row r="60" ht="24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</x:row>
    <x:row r="61" ht="24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</x:row>
    <x:row r="62" ht="29" customHeight="1">
      <x:c r="A62" s="3"/>
      <x:c r="B62" s="4" t="str">
        <x:v>TABLE 7.</x:v>
      </x:c>
      <x:c r="C62" s="5" t="str">
        <x:v>Sentiment latency (ms).</x:v>
      </x:c>
      <x:c r="D62" s="5"/>
      <x:c r="E62" s="5"/>
      <x:c r="F62" s="3"/>
      <x:c r="G62" s="3"/>
      <x:c r="H62" s="3"/>
      <x:c r="I62" s="3"/>
      <x:c r="J62" s="3"/>
    </x:row>
    <x:row r="63" ht="21" customHeight="1">
      <x:c r="A63" s="3"/>
      <x:c r="B63" s="6" t="str">
        <x:v>Türkiye: sentiment_tr, n = 12,760</x:v>
      </x:c>
      <x:c r="C63" s="6"/>
      <x:c r="D63" s="6"/>
      <x:c r="E63" s="6"/>
      <x:c r="F63" s="3"/>
      <x:c r="G63" s="3"/>
      <x:c r="H63" s="3"/>
      <x:c r="I63" s="3"/>
      <x:c r="J63" s="3"/>
    </x:row>
    <x:row r="64" ht="9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</x:row>
    <x:row r="65" ht="42" customHeight="1">
      <x:c r="A65" s="3"/>
      <x:c r="B65" s="11" t="str">
        <x:v>Model</x:v>
      </x:c>
      <x:c r="C65" s="10" t="str">
        <x:v>Mean (ms)</x:v>
      </x:c>
      <x:c r="D65" s="10" t="str">
        <x:v>P50 (ms)</x:v>
      </x:c>
      <x:c r="E65" s="10" t="str">
        <x:v>P95 (ms)</x:v>
      </x:c>
      <x:c r="F65" s="3"/>
      <x:c r="G65" s="3"/>
      <x:c r="H65" s="3"/>
      <x:c r="I65" s="3"/>
      <x:c r="J65" s="3"/>
    </x:row>
    <x:row r="66" ht="24" customHeight="1">
      <x:c r="A66" s="3"/>
      <x:c r="B66" s="12" t="str">
        <x:v>nimble:9b</x:v>
      </x:c>
      <x:c r="C66" s="18" t="n">
        <x:v>714.0460503134797</x:v>
      </x:c>
      <x:c r="D66" s="18" t="n">
        <x:v>690.2565</x:v>
      </x:c>
      <x:c r="E66" s="18" t="n">
        <x:v>772.8776999999999</x:v>
      </x:c>
      <x:c r="F66" s="3"/>
      <x:c r="G66" s="3"/>
      <x:c r="H66" s="3"/>
      <x:c r="I66" s="3"/>
      <x:c r="J66" s="3"/>
    </x:row>
    <x:row r="67" ht="24" customHeight="1">
      <x:c r="A67" s="3"/>
      <x:c r="B67" s="12" t="str">
        <x:v>tev1:0.8b</x:v>
      </x:c>
      <x:c r="C67" s="18" t="n">
        <x:v>553.0313459247649</x:v>
      </x:c>
      <x:c r="D67" s="18" t="n">
        <x:v>540.8005</x:v>
      </x:c>
      <x:c r="E67" s="18" t="n">
        <x:v>610.9250499999999</x:v>
      </x:c>
      <x:c r="F67" s="3"/>
      <x:c r="G67" s="3"/>
      <x:c r="H67" s="3"/>
      <x:c r="I67" s="3"/>
      <x:c r="J67" s="3"/>
    </x:row>
    <x:row r="68" ht="24" customHeight="1">
      <x:c r="A68" s="3"/>
      <x:c r="B68" s="12" t="str">
        <x:v>tev1:4b</x:v>
      </x:c>
      <x:c r="C68" s="18" t="n">
        <x:v>765.7739284482758</x:v>
      </x:c>
      <x:c r="D68" s="18" t="n">
        <x:v>771.3335</x:v>
      </x:c>
      <x:c r="E68" s="18" t="n">
        <x:v>861.1093999999999</x:v>
      </x:c>
      <x:c r="F68" s="3"/>
      <x:c r="G68" s="3"/>
      <x:c r="H68" s="3"/>
      <x:c r="I68" s="3"/>
      <x:c r="J68" s="3"/>
    </x:row>
    <x:row r="69" ht="24" customHeight="1">
      <x:c r="A69" s="3"/>
      <x:c r="B69" s="14" t="str">
        <x:v>typesafe/jev-1.13</x:v>
      </x:c>
      <x:c r="C69" s="21" t="n">
        <x:v>289.2779961598746</x:v>
      </x:c>
      <x:c r="D69" s="21" t="n">
        <x:v>277.155</x:v>
      </x:c>
      <x:c r="E69" s="21" t="n">
        <x:v>372.76619999999997</x:v>
      </x:c>
      <x:c r="F69" s="3"/>
      <x:c r="G69" s="3"/>
      <x:c r="H69" s="3"/>
      <x:c r="I69" s="3"/>
      <x:c r="J69" s="3"/>
    </x:row>
    <x:row r="70" ht="24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</x:row>
    <x:row r="71" ht="24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</x:row>
    <x:row r="72" ht="29" customHeight="1">
      <x:c r="A72" s="3"/>
      <x:c r="B72" s="4" t="str">
        <x:v>TABLE 8.</x:v>
      </x:c>
      <x:c r="C72" s="5" t="str">
        <x:v>Emotion latency (ms).</x:v>
      </x:c>
      <x:c r="D72" s="5"/>
      <x:c r="E72" s="5"/>
      <x:c r="F72" s="3"/>
      <x:c r="G72" s="3"/>
      <x:c r="H72" s="3"/>
      <x:c r="I72" s="3"/>
      <x:c r="J72" s="3"/>
    </x:row>
    <x:row r="73" ht="21" customHeight="1">
      <x:c r="A73" s="3"/>
      <x:c r="B73" s="6" t="str">
        <x:v>Türkiye: emotion_tr, n = 4,403</x:v>
      </x:c>
      <x:c r="C73" s="6"/>
      <x:c r="D73" s="6"/>
      <x:c r="E73" s="6"/>
      <x:c r="F73" s="3"/>
      <x:c r="G73" s="3"/>
      <x:c r="H73" s="3"/>
      <x:c r="I73" s="3"/>
      <x:c r="J73" s="3"/>
    </x:row>
    <x:row r="74" ht="9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</x:row>
    <x:row r="75" ht="42" customHeight="1">
      <x:c r="A75" s="3"/>
      <x:c r="B75" s="11" t="str">
        <x:v>Model</x:v>
      </x:c>
      <x:c r="C75" s="10" t="str">
        <x:v>Mean (ms)</x:v>
      </x:c>
      <x:c r="D75" s="10" t="str">
        <x:v>P50 (ms)</x:v>
      </x:c>
      <x:c r="E75" s="10" t="str">
        <x:v>P95 (ms)</x:v>
      </x:c>
      <x:c r="F75" s="3"/>
      <x:c r="G75" s="3"/>
      <x:c r="H75" s="3"/>
      <x:c r="I75" s="3"/>
      <x:c r="J75" s="3"/>
    </x:row>
    <x:row r="76" ht="24" customHeight="1">
      <x:c r="A76" s="3"/>
      <x:c r="B76" s="12" t="str">
        <x:v>nimble:9b</x:v>
      </x:c>
      <x:c r="C76" s="18" t="n">
        <x:v>760.0553765614353</x:v>
      </x:c>
      <x:c r="D76" s="18" t="n">
        <x:v>741.531</x:v>
      </x:c>
      <x:c r="E76" s="18" t="n">
        <x:v>867.1234</x:v>
      </x:c>
      <x:c r="F76" s="3"/>
      <x:c r="G76" s="3"/>
      <x:c r="H76" s="3"/>
      <x:c r="I76" s="3"/>
      <x:c r="J76" s="3"/>
    </x:row>
    <x:row r="77" ht="24" customHeight="1">
      <x:c r="A77" s="3"/>
      <x:c r="B77" s="12" t="str">
        <x:v>tev1:0.8b</x:v>
      </x:c>
      <x:c r="C77" s="18" t="n">
        <x:v>793.3999722916193</x:v>
      </x:c>
      <x:c r="D77" s="18" t="n">
        <x:v>867.453</x:v>
      </x:c>
      <x:c r="E77" s="18" t="n">
        <x:v>882.1109</x:v>
      </x:c>
      <x:c r="F77" s="3"/>
      <x:c r="G77" s="3"/>
      <x:c r="H77" s="3"/>
      <x:c r="I77" s="3"/>
      <x:c r="J77" s="3"/>
    </x:row>
    <x:row r="78" ht="24" customHeight="1">
      <x:c r="A78" s="3"/>
      <x:c r="B78" s="12" t="str">
        <x:v>tev1:4b</x:v>
      </x:c>
      <x:c r="C78" s="18" t="n">
        <x:v>765.0517397229162</x:v>
      </x:c>
      <x:c r="D78" s="18" t="n">
        <x:v>734.884</x:v>
      </x:c>
      <x:c r="E78" s="18" t="n">
        <x:v>879.7139999999999</x:v>
      </x:c>
      <x:c r="F78" s="3"/>
      <x:c r="G78" s="3"/>
      <x:c r="H78" s="3"/>
      <x:c r="I78" s="3"/>
      <x:c r="J78" s="3"/>
    </x:row>
    <x:row r="79" ht="24" customHeight="1">
      <x:c r="A79" s="3"/>
      <x:c r="B79" s="14" t="str">
        <x:v>typesafe/jev-1.13</x:v>
      </x:c>
      <x:c r="C79" s="21" t="n">
        <x:v>290.742994549171</x:v>
      </x:c>
      <x:c r="D79" s="21" t="n">
        <x:v>280.399</x:v>
      </x:c>
      <x:c r="E79" s="21" t="n">
        <x:v>357.44719999999995</x:v>
      </x:c>
      <x:c r="F79" s="3"/>
      <x:c r="G79" s="3"/>
      <x:c r="H79" s="3"/>
      <x:c r="I79" s="3"/>
      <x:c r="J79" s="3"/>
    </x:row>
    <x:row r="80" ht="24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</x:row>
    <x:row r="81" ht="24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</x:row>
    <x:row r="82" ht="29" customHeight="1">
      <x:c r="A82" s="3"/>
      <x:c r="B82" s="4" t="str">
        <x:v>TABLE 9.</x:v>
      </x:c>
      <x:c r="C82" s="5" t="str">
        <x:v>Sentiment evaluation coverage.</x:v>
      </x:c>
      <x:c r="D82" s="5"/>
      <x:c r="E82" s="5"/>
      <x:c r="F82" s="5"/>
      <x:c r="G82" s="5"/>
      <x:c r="H82" s="5"/>
      <x:c r="I82" s="3"/>
      <x:c r="J82" s="3"/>
    </x:row>
    <x:row r="83" ht="21" customHeight="1">
      <x:c r="A83" s="3"/>
      <x:c r="B83" s="6" t="str">
        <x:v>Türkiye: sentiment_tr, n = 12,760</x:v>
      </x:c>
      <x:c r="C83" s="6"/>
      <x:c r="D83" s="6"/>
      <x:c r="E83" s="6"/>
      <x:c r="F83" s="6"/>
      <x:c r="G83" s="6"/>
      <x:c r="H83" s="6"/>
      <x:c r="I83" s="3"/>
      <x:c r="J83" s="3"/>
    </x:row>
    <x:row r="84" ht="9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</x:row>
    <x:row r="85" ht="42" customHeight="1">
      <x:c r="A85" s="3"/>
      <x:c r="B85" s="11" t="str">
        <x:v>Model</x:v>
      </x:c>
      <x:c r="C85" s="10" t="str">
        <x:v>Total</x:v>
      </x:c>
      <x:c r="D85" s="10" t="str">
        <x:v>Successful</x:v>
      </x:c>
      <x:c r="E85" s="10" t="str">
        <x:v>Errors</x:v>
      </x:c>
      <x:c r="F85" s="10" t="str">
        <x:v>Error Rate</x:v>
      </x:c>
      <x:c r="G85" s="10" t="str">
        <x:v>Probability
Records</x:v>
      </x:c>
      <x:c r="H85" s="10" t="str">
        <x:v>Choice
Mismatches</x:v>
      </x:c>
      <x:c r="I85" s="3"/>
      <x:c r="J85" s="3"/>
    </x:row>
    <x:row r="86" ht="24" customHeight="1">
      <x:c r="A86" s="3"/>
      <x:c r="B86" s="12" t="str">
        <x:v>nimble:9b</x:v>
      </x:c>
      <x:c r="C86" s="24" t="n">
        <x:v>12760</x:v>
      </x:c>
      <x:c r="D86" s="24" t="n">
        <x:v>12760</x:v>
      </x:c>
      <x:c r="E86" s="24" t="n">
        <x:v>0</x:v>
      </x:c>
      <x:c r="F86" s="16" t="n">
        <x:v>0</x:v>
      </x:c>
      <x:c r="G86" s="24" t="n">
        <x:v>12760</x:v>
      </x:c>
      <x:c r="H86" s="24" t="n">
        <x:v>0</x:v>
      </x:c>
      <x:c r="I86" s="3"/>
      <x:c r="J86" s="3"/>
    </x:row>
    <x:row r="87" ht="24" customHeight="1">
      <x:c r="A87" s="3"/>
      <x:c r="B87" s="12" t="str">
        <x:v>tev1:0.8b</x:v>
      </x:c>
      <x:c r="C87" s="24" t="n">
        <x:v>12760</x:v>
      </x:c>
      <x:c r="D87" s="24" t="n">
        <x:v>12760</x:v>
      </x:c>
      <x:c r="E87" s="24" t="n">
        <x:v>0</x:v>
      </x:c>
      <x:c r="F87" s="16" t="n">
        <x:v>0</x:v>
      </x:c>
      <x:c r="G87" s="24" t="n">
        <x:v>12760</x:v>
      </x:c>
      <x:c r="H87" s="24" t="n">
        <x:v>0</x:v>
      </x:c>
      <x:c r="I87" s="3"/>
      <x:c r="J87" s="3"/>
    </x:row>
    <x:row r="88" ht="24" customHeight="1">
      <x:c r="A88" s="3"/>
      <x:c r="B88" s="12" t="str">
        <x:v>tev1:4b</x:v>
      </x:c>
      <x:c r="C88" s="24" t="n">
        <x:v>12760</x:v>
      </x:c>
      <x:c r="D88" s="24" t="n">
        <x:v>12760</x:v>
      </x:c>
      <x:c r="E88" s="24" t="n">
        <x:v>0</x:v>
      </x:c>
      <x:c r="F88" s="16" t="n">
        <x:v>0</x:v>
      </x:c>
      <x:c r="G88" s="24" t="n">
        <x:v>12760</x:v>
      </x:c>
      <x:c r="H88" s="24" t="n">
        <x:v>0</x:v>
      </x:c>
      <x:c r="I88" s="3"/>
      <x:c r="J88" s="3"/>
    </x:row>
    <x:row r="89" ht="24" customHeight="1">
      <x:c r="A89" s="3"/>
      <x:c r="B89" s="14" t="str">
        <x:v>typesafe/jev-1.13</x:v>
      </x:c>
      <x:c r="C89" s="25" t="n">
        <x:v>12760</x:v>
      </x:c>
      <x:c r="D89" s="25" t="n">
        <x:v>12760</x:v>
      </x:c>
      <x:c r="E89" s="25" t="n">
        <x:v>0</x:v>
      </x:c>
      <x:c r="F89" s="17" t="n">
        <x:v>0</x:v>
      </x:c>
      <x:c r="G89" s="25" t="n">
        <x:v>12760</x:v>
      </x:c>
      <x:c r="H89" s="25" t="n">
        <x:v>7</x:v>
      </x:c>
      <x:c r="I89" s="3"/>
      <x:c r="J89" s="3"/>
    </x:row>
    <x:row r="90" ht="24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</x:row>
    <x:row r="91" ht="24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</x:row>
    <x:row r="92" ht="29" customHeight="1">
      <x:c r="A92" s="3"/>
      <x:c r="B92" s="4" t="str">
        <x:v>TABLE 10.</x:v>
      </x:c>
      <x:c r="C92" s="5" t="str">
        <x:v>Emotion evaluation coverage.</x:v>
      </x:c>
      <x:c r="D92" s="5"/>
      <x:c r="E92" s="5"/>
      <x:c r="F92" s="5"/>
      <x:c r="G92" s="5"/>
      <x:c r="H92" s="5"/>
      <x:c r="I92" s="3"/>
      <x:c r="J92" s="3"/>
    </x:row>
    <x:row r="93" ht="21" customHeight="1">
      <x:c r="A93" s="3"/>
      <x:c r="B93" s="6" t="str">
        <x:v>Türkiye: emotion_tr, n = 4,403</x:v>
      </x:c>
      <x:c r="C93" s="6"/>
      <x:c r="D93" s="6"/>
      <x:c r="E93" s="6"/>
      <x:c r="F93" s="6"/>
      <x:c r="G93" s="6"/>
      <x:c r="H93" s="6"/>
      <x:c r="I93" s="3"/>
      <x:c r="J93" s="3"/>
    </x:row>
    <x:row r="94" ht="9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</x:row>
    <x:row r="95" ht="42" customHeight="1">
      <x:c r="A95" s="3"/>
      <x:c r="B95" s="11" t="str">
        <x:v>Model</x:v>
      </x:c>
      <x:c r="C95" s="10" t="str">
        <x:v>Total</x:v>
      </x:c>
      <x:c r="D95" s="10" t="str">
        <x:v>Successful</x:v>
      </x:c>
      <x:c r="E95" s="10" t="str">
        <x:v>Errors</x:v>
      </x:c>
      <x:c r="F95" s="10" t="str">
        <x:v>Error Rate</x:v>
      </x:c>
      <x:c r="G95" s="10" t="str">
        <x:v>Probability
Records</x:v>
      </x:c>
      <x:c r="H95" s="10" t="str">
        <x:v>Choice
Mismatches</x:v>
      </x:c>
      <x:c r="I95" s="3"/>
      <x:c r="J95" s="3"/>
    </x:row>
    <x:row r="96" ht="24" customHeight="1">
      <x:c r="A96" s="3"/>
      <x:c r="B96" s="12" t="str">
        <x:v>nimble:9b</x:v>
      </x:c>
      <x:c r="C96" s="24" t="n">
        <x:v>4403</x:v>
      </x:c>
      <x:c r="D96" s="24" t="n">
        <x:v>4403</x:v>
      </x:c>
      <x:c r="E96" s="24" t="n">
        <x:v>0</x:v>
      </x:c>
      <x:c r="F96" s="16" t="n">
        <x:v>0</x:v>
      </x:c>
      <x:c r="G96" s="24" t="n">
        <x:v>4403</x:v>
      </x:c>
      <x:c r="H96" s="24" t="n">
        <x:v>0</x:v>
      </x:c>
      <x:c r="I96" s="3"/>
      <x:c r="J96" s="3"/>
    </x:row>
    <x:row r="97" ht="24" customHeight="1">
      <x:c r="A97" s="3"/>
      <x:c r="B97" s="12" t="str">
        <x:v>tev1:0.8b</x:v>
      </x:c>
      <x:c r="C97" s="24" t="n">
        <x:v>4403</x:v>
      </x:c>
      <x:c r="D97" s="24" t="n">
        <x:v>4403</x:v>
      </x:c>
      <x:c r="E97" s="24" t="n">
        <x:v>0</x:v>
      </x:c>
      <x:c r="F97" s="16" t="n">
        <x:v>0</x:v>
      </x:c>
      <x:c r="G97" s="24" t="n">
        <x:v>4403</x:v>
      </x:c>
      <x:c r="H97" s="24" t="n">
        <x:v>0</x:v>
      </x:c>
      <x:c r="I97" s="3"/>
      <x:c r="J97" s="3"/>
    </x:row>
    <x:row r="98" ht="24" customHeight="1">
      <x:c r="A98" s="3"/>
      <x:c r="B98" s="12" t="str">
        <x:v>tev1:4b</x:v>
      </x:c>
      <x:c r="C98" s="24" t="n">
        <x:v>4403</x:v>
      </x:c>
      <x:c r="D98" s="24" t="n">
        <x:v>4403</x:v>
      </x:c>
      <x:c r="E98" s="24" t="n">
        <x:v>0</x:v>
      </x:c>
      <x:c r="F98" s="16" t="n">
        <x:v>0</x:v>
      </x:c>
      <x:c r="G98" s="24" t="n">
        <x:v>4403</x:v>
      </x:c>
      <x:c r="H98" s="24" t="n">
        <x:v>0</x:v>
      </x:c>
      <x:c r="I98" s="3"/>
      <x:c r="J98" s="3"/>
    </x:row>
    <x:row r="99" ht="24" customHeight="1">
      <x:c r="A99" s="3"/>
      <x:c r="B99" s="14" t="str">
        <x:v>typesafe/jev-1.13</x:v>
      </x:c>
      <x:c r="C99" s="25" t="n">
        <x:v>4403</x:v>
      </x:c>
      <x:c r="D99" s="25" t="n">
        <x:v>4403</x:v>
      </x:c>
      <x:c r="E99" s="25" t="n">
        <x:v>0</x:v>
      </x:c>
      <x:c r="F99" s="17" t="n">
        <x:v>0</x:v>
      </x:c>
      <x:c r="G99" s="25" t="n">
        <x:v>4403</x:v>
      </x:c>
      <x:c r="H99" s="25" t="n">
        <x:v>9</x:v>
      </x:c>
      <x:c r="I99" s="3"/>
      <x:c r="J99" s="3"/>
    </x:row>
    <x:row r="100" ht="24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</x:row>
    <x:row r="101" ht="24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</x:row>
    <x:row r="102" ht="23" customHeight="1">
      <x:c r="A102" s="3"/>
      <x:c r="B102" s="6" t="str">
        <x:v>Bold marks the best exact value within each country and task; ties are included.</x:v>
      </x:c>
      <x:c r="C102" s="6"/>
      <x:c r="D102" s="6"/>
      <x:c r="E102" s="6"/>
      <x:c r="F102" s="6"/>
      <x:c r="G102" s="6"/>
      <x:c r="H102" s="6"/>
      <x:c r="I102" s="3"/>
      <x:c r="J102" s="3"/>
    </x:row>
    <x:row r="103" ht="23" customHeight="1">
      <x:c r="A103" s="3"/>
      <x:c r="B103" s="6" t="str">
        <x:v>Higher is better for accuracy, F1 and probability coverage. Lower is better for loss, Brier, ECE and latency.</x:v>
      </x:c>
      <x:c r="C103" s="6"/>
      <x:c r="D103" s="6"/>
      <x:c r="E103" s="6"/>
      <x:c r="F103" s="6"/>
      <x:c r="G103" s="6"/>
      <x:c r="H103" s="6"/>
      <x:c r="I103" s="3"/>
      <x:c r="J103" s="3"/>
    </x:row>
    <x:row r="104" ht="23" customHeight="1">
      <x:c r="A104" s="3"/>
      <x:c r="B104" s="6" t="str">
        <x:v>Scores display three decimals; underlying values retain source precision. Confidence interval levels were not specified.</x:v>
      </x:c>
      <x:c r="C104" s="6"/>
      <x:c r="D104" s="6"/>
      <x:c r="E104" s="6"/>
      <x:c r="F104" s="6"/>
      <x:c r="G104" s="6"/>
      <x:c r="H104" s="6"/>
      <x:c r="I104" s="3"/>
      <x:c r="J104" s="3"/>
    </x:row>
    <x:row r="105" ht="23" customHeight="1">
      <x:c r="A105" s="3"/>
      <x:c r="B105" s="6" t="str">
        <x:v>Per-class precision, recall, F1, and support are included in the tables below.</x:v>
      </x:c>
      <x:c r="C105" s="6"/>
      <x:c r="D105" s="6"/>
      <x:c r="E105" s="6"/>
      <x:c r="F105" s="6"/>
      <x:c r="G105" s="6"/>
      <x:c r="H105" s="6"/>
      <x:c r="I105" s="3"/>
      <x:c r="J105" s="3"/>
    </x:row>
    <x:row r="106" ht="23" customHeight="1">
      <x:c r="A106" s="3"/>
      <x:c r="B106" s="6" t="str">
        <x:v>Source: summary.csv</x:v>
      </x:c>
      <x:c r="C106" s="6"/>
      <x:c r="D106" s="6"/>
      <x:c r="E106" s="6"/>
      <x:c r="F106" s="6"/>
      <x:c r="G106" s="6"/>
      <x:c r="H106" s="6"/>
      <x:c r="I106" s="3"/>
      <x:c r="J106" s="3"/>
    </x:row>
    <x:row r="107" ht="23" customHeight="1">
      <x:c r="A107" s="3"/>
      <x:c r="B107" s="6" t="str">
        <x:v>Source: per_class_metrics.csv</x:v>
      </x:c>
      <x:c r="C107" s="6"/>
      <x:c r="D107" s="6"/>
      <x:c r="E107" s="6"/>
      <x:c r="F107" s="6"/>
      <x:c r="G107" s="6"/>
      <x:c r="H107" s="6"/>
      <x:c r="I107" s="3"/>
      <x:c r="J107" s="3"/>
    </x:row>
    <x:row r="108" ht="24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</x:row>
    <x:row r="109" ht="24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</x:row>
    <x:row r="110" ht="24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</x:row>
    <x:row r="111" ht="24" customHeight="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</x:row>
    <x:row r="112" ht="29" customHeight="1">
      <x:c r="A112" s="33"/>
      <x:c r="B112" s="36" t="str">
        <x:v>TABLE 11.</x:v>
      </x:c>
      <x:c r="C112" s="37" t="str">
        <x:v>Sentiment classification precision.</x:v>
      </x:c>
      <x:c r="D112" s="37"/>
      <x:c r="E112" s="37"/>
      <x:c r="F112" s="37"/>
      <x:c r="G112" s="33"/>
      <x:c r="H112" s="33"/>
      <x:c r="I112" s="33"/>
      <x:c r="J112" s="33"/>
      <x:c r="K112" s="33"/>
      <x:c r="L112" s="33"/>
    </x:row>
    <x:row r="113" ht="21" customHeight="1">
      <x:c r="A113" s="33"/>
      <x:c r="B113" s="38" t="str">
        <x:v>Türkiye: sentiment_tr, n = 12,760</x:v>
      </x:c>
      <x:c r="C113" s="38"/>
      <x:c r="D113" s="38"/>
      <x:c r="E113" s="38"/>
      <x:c r="F113" s="38"/>
      <x:c r="G113" s="33"/>
      <x:c r="H113" s="33"/>
      <x:c r="I113" s="33"/>
      <x:c r="J113" s="33"/>
      <x:c r="K113" s="33"/>
      <x:c r="L113" s="33"/>
    </x:row>
    <x:row r="114" ht="9" customHeight="1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</x:row>
    <x:row r="115" ht="42" customHeight="1">
      <x:c r="A115" s="33"/>
      <x:c r="B115" s="43" t="str">
        <x:v>Model</x:v>
      </x:c>
      <x:c r="C115" s="42" t="str">
        <x:v>positive</x:v>
      </x:c>
      <x:c r="D115" s="42" t="str">
        <x:v>negative</x:v>
      </x:c>
      <x:c r="E115" s="42" t="str">
        <x:v>neutral</x:v>
      </x:c>
      <x:c r="F115" s="42" t="str">
        <x:v>Macro-
Precision</x:v>
      </x:c>
      <x:c r="G115" s="33"/>
      <x:c r="H115" s="33"/>
      <x:c r="I115" s="33"/>
      <x:c r="J115" s="33"/>
      <x:c r="K115" s="33"/>
      <x:c r="L115" s="33"/>
    </x:row>
    <x:row r="116" ht="24" customHeight="1">
      <x:c r="A116" s="33"/>
      <x:c r="B116" s="44" t="str">
        <x:v>nimble:9b</x:v>
      </x:c>
      <x:c r="C116" s="49" t="n">
        <x:v>0.8423177392543338</x:v>
      </x:c>
      <x:c r="D116" s="49" t="n">
        <x:v>0.7036825578075935</x:v>
      </x:c>
      <x:c r="E116" s="49" t="n">
        <x:v>0.4119760479041916</x:v>
      </x:c>
      <x:c r="F116" s="49" t="n">
        <x:f>AVERAGE(C116:E116)</x:f>
        <x:v>0.6526587816553729</x:v>
      </x:c>
      <x:c r="G116" s="33"/>
      <x:c r="H116" s="33"/>
      <x:c r="I116" s="33"/>
      <x:c r="J116" s="33"/>
      <x:c r="K116" s="33"/>
      <x:c r="L116" s="33"/>
    </x:row>
    <x:row r="117" ht="24" customHeight="1">
      <x:c r="A117" s="33"/>
      <x:c r="B117" s="44" t="str">
        <x:v>tev1:0.8b</x:v>
      </x:c>
      <x:c r="C117" s="49" t="n">
        <x:v>0.8633373607195597</x:v>
      </x:c>
      <x:c r="D117" s="49" t="n">
        <x:v>0.5977386934673367</x:v>
      </x:c>
      <x:c r="E117" s="49" t="n">
        <x:v>0.3756574004507889</x:v>
      </x:c>
      <x:c r="F117" s="49" t="n">
        <x:f>AVERAGE(C117:E117)</x:f>
        <x:v>0.6122444848792284</x:v>
      </x:c>
      <x:c r="G117" s="33"/>
      <x:c r="H117" s="33"/>
      <x:c r="I117" s="33"/>
      <x:c r="J117" s="33"/>
      <x:c r="K117" s="33"/>
      <x:c r="L117" s="33"/>
    </x:row>
    <x:row r="118" ht="24" customHeight="1">
      <x:c r="A118" s="33"/>
      <x:c r="B118" s="44" t="str">
        <x:v>tev1:4b</x:v>
      </x:c>
      <x:c r="C118" s="49" t="n">
        <x:v>0.8573164803111327</x:v>
      </x:c>
      <x:c r="D118" s="51" t="n">
        <x:v>0.7400505369551484</x:v>
      </x:c>
      <x:c r="E118" s="51" t="n">
        <x:v>0.479502196193265</x:v>
      </x:c>
      <x:c r="F118" s="51" t="n">
        <x:f>AVERAGE(C118:E118)</x:f>
        <x:v>0.6922897378198486</x:v>
      </x:c>
      <x:c r="G118" s="33"/>
      <x:c r="H118" s="33"/>
      <x:c r="I118" s="33"/>
      <x:c r="J118" s="33"/>
      <x:c r="K118" s="33"/>
      <x:c r="L118" s="33"/>
    </x:row>
    <x:row r="119" ht="24" customHeight="1">
      <x:c r="A119" s="33"/>
      <x:c r="B119" s="47" t="str">
        <x:v>typesafe/jev-1.13</x:v>
      </x:c>
      <x:c r="C119" s="50" t="n">
        <x:v>0.8939842844261239</x:v>
      </x:c>
      <x:c r="D119" s="52" t="n">
        <x:v>0.6212298339957915</x:v>
      </x:c>
      <x:c r="E119" s="52" t="n">
        <x:v>0.4</x:v>
      </x:c>
      <x:c r="F119" s="52" t="n">
        <x:f>AVERAGE(C119:E119)</x:f>
        <x:v>0.6384047061406384</x:v>
      </x:c>
      <x:c r="G119" s="33"/>
      <x:c r="H119" s="33"/>
      <x:c r="I119" s="33"/>
      <x:c r="J119" s="33"/>
      <x:c r="K119" s="33"/>
      <x:c r="L119" s="33"/>
    </x:row>
    <x:row r="120" ht="24" customHeight="1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</x:row>
    <x:row r="121" ht="24" customHeight="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</x:row>
    <x:row r="122" ht="29" customHeight="1">
      <x:c r="A122" s="33"/>
      <x:c r="B122" s="36" t="str">
        <x:v>TABLE 12.</x:v>
      </x:c>
      <x:c r="C122" s="37" t="str">
        <x:v>Sentiment classification recall.</x:v>
      </x:c>
      <x:c r="D122" s="37"/>
      <x:c r="E122" s="37"/>
      <x:c r="F122" s="37"/>
      <x:c r="G122" s="33"/>
      <x:c r="H122" s="33"/>
      <x:c r="I122" s="33"/>
      <x:c r="J122" s="33"/>
      <x:c r="K122" s="33"/>
      <x:c r="L122" s="33"/>
    </x:row>
    <x:row r="123" ht="21" customHeight="1">
      <x:c r="A123" s="33"/>
      <x:c r="B123" s="38" t="str">
        <x:v>Türkiye: sentiment_tr, n = 12,760</x:v>
      </x:c>
      <x:c r="C123" s="38"/>
      <x:c r="D123" s="38"/>
      <x:c r="E123" s="38"/>
      <x:c r="F123" s="38"/>
      <x:c r="G123" s="33"/>
      <x:c r="H123" s="33"/>
      <x:c r="I123" s="33"/>
      <x:c r="J123" s="33"/>
      <x:c r="K123" s="33"/>
      <x:c r="L123" s="33"/>
    </x:row>
    <x:row r="124" ht="9" customHeight="1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</x:row>
    <x:row r="125" ht="42" customHeight="1">
      <x:c r="A125" s="33"/>
      <x:c r="B125" s="43" t="str">
        <x:v>Model</x:v>
      </x:c>
      <x:c r="C125" s="42" t="str">
        <x:v>positive</x:v>
      </x:c>
      <x:c r="D125" s="42" t="str">
        <x:v>negative</x:v>
      </x:c>
      <x:c r="E125" s="42" t="str">
        <x:v>neutral</x:v>
      </x:c>
      <x:c r="F125" s="42" t="str">
        <x:v>Macro-
Recall</x:v>
      </x:c>
      <x:c r="G125" s="33"/>
      <x:c r="H125" s="33"/>
      <x:c r="I125" s="33"/>
      <x:c r="J125" s="33"/>
      <x:c r="K125" s="33"/>
      <x:c r="L125" s="33"/>
    </x:row>
    <x:row r="126" ht="24" customHeight="1">
      <x:c r="A126" s="33"/>
      <x:c r="B126" s="44" t="str">
        <x:v>nimble:9b</x:v>
      </x:c>
      <x:c r="C126" s="51" t="n">
        <x:v>0.9292638197537333</x:v>
      </x:c>
      <x:c r="D126" s="49" t="n">
        <x:v>0.8398637137989778</x:v>
      </x:c>
      <x:c r="E126" s="49" t="n">
        <x:v>0.15700593336376084</x:v>
      </x:c>
      <x:c r="F126" s="49" t="n">
        <x:f>AVERAGE(C126:E126)</x:f>
        <x:v>0.6420444889721573</x:v>
      </x:c>
      <x:c r="G126" s="33"/>
      <x:c r="H126" s="33"/>
      <x:c r="I126" s="33"/>
      <x:c r="J126" s="33"/>
      <x:c r="K126" s="33"/>
      <x:c r="L126" s="33"/>
    </x:row>
    <x:row r="127" ht="24" customHeight="1">
      <x:c r="A127" s="33"/>
      <x:c r="B127" s="44" t="str">
        <x:v>tev1:0.8b</x:v>
      </x:c>
      <x:c r="C127" s="49" t="n">
        <x:v>0.8424155095624837</x:v>
      </x:c>
      <x:c r="D127" s="49" t="n">
        <x:v>0.8105621805792164</x:v>
      </x:c>
      <x:c r="E127" s="49" t="n">
        <x:v>0.22820629849383842</x:v>
      </x:c>
      <x:c r="F127" s="49" t="n">
        <x:f>AVERAGE(C127:E127)</x:f>
        <x:v>0.6270613295451796</x:v>
      </x:c>
      <x:c r="G127" s="33"/>
      <x:c r="H127" s="33"/>
      <x:c r="I127" s="33"/>
      <x:c r="J127" s="33"/>
      <x:c r="K127" s="33"/>
      <x:c r="L127" s="33"/>
    </x:row>
    <x:row r="128" ht="24" customHeight="1">
      <x:c r="A128" s="33"/>
      <x:c r="B128" s="44" t="str">
        <x:v>tev1:4b</x:v>
      </x:c>
      <x:c r="C128" s="49" t="n">
        <x:v>0.9240241026984543</x:v>
      </x:c>
      <x:c r="D128" s="49" t="n">
        <x:v>0.7982964224872232</x:v>
      </x:c>
      <x:c r="E128" s="51" t="n">
        <x:v>0.29895025102692835</x:v>
      </x:c>
      <x:c r="F128" s="51" t="n">
        <x:f>AVERAGE(C128:E128)</x:f>
        <x:v>0.6737569254042018</x:v>
      </x:c>
      <x:c r="G128" s="33"/>
      <x:c r="H128" s="33"/>
      <x:c r="I128" s="33"/>
      <x:c r="J128" s="33"/>
      <x:c r="K128" s="33"/>
      <x:c r="L128" s="33"/>
    </x:row>
    <x:row r="129" ht="24" customHeight="1">
      <x:c r="A129" s="33"/>
      <x:c r="B129" s="47" t="str">
        <x:v>typesafe/jev-1.13</x:v>
      </x:c>
      <x:c r="C129" s="52" t="n">
        <x:v>0.9090909090909091</x:v>
      </x:c>
      <x:c r="D129" s="50" t="n">
        <x:v>0.9052810902896081</x:v>
      </x:c>
      <x:c r="E129" s="52" t="n">
        <x:v>0.13144682793245094</x:v>
      </x:c>
      <x:c r="F129" s="52" t="n">
        <x:f>AVERAGE(C129:E129)</x:f>
        <x:v>0.6486062757709894</x:v>
      </x:c>
      <x:c r="G129" s="33"/>
      <x:c r="H129" s="33"/>
      <x:c r="I129" s="33"/>
      <x:c r="J129" s="33"/>
      <x:c r="K129" s="33"/>
      <x:c r="L129" s="33"/>
    </x:row>
    <x:row r="130" ht="24" customHeight="1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</x:row>
    <x:row r="131" ht="24" customHeight="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</x:row>
    <x:row r="132" ht="29" customHeight="1">
      <x:c r="A132" s="33"/>
      <x:c r="B132" s="36" t="str">
        <x:v>TABLE 13.</x:v>
      </x:c>
      <x:c r="C132" s="37" t="str">
        <x:v>Sentiment classification F1.</x:v>
      </x:c>
      <x:c r="D132" s="37"/>
      <x:c r="E132" s="37"/>
      <x:c r="F132" s="37"/>
      <x:c r="G132" s="33"/>
      <x:c r="H132" s="33"/>
      <x:c r="I132" s="33"/>
      <x:c r="J132" s="33"/>
      <x:c r="K132" s="33"/>
      <x:c r="L132" s="33"/>
    </x:row>
    <x:row r="133" ht="21" customHeight="1">
      <x:c r="A133" s="33"/>
      <x:c r="B133" s="38" t="str">
        <x:v>Türkiye: sentiment_tr, n = 12,760</x:v>
      </x:c>
      <x:c r="C133" s="38"/>
      <x:c r="D133" s="38"/>
      <x:c r="E133" s="38"/>
      <x:c r="F133" s="38"/>
      <x:c r="G133" s="33"/>
      <x:c r="H133" s="33"/>
      <x:c r="I133" s="33"/>
      <x:c r="J133" s="33"/>
      <x:c r="K133" s="33"/>
      <x:c r="L133" s="33"/>
    </x:row>
    <x:row r="134" ht="9" customHeight="1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</x:row>
    <x:row r="135" ht="42" customHeight="1">
      <x:c r="A135" s="33"/>
      <x:c r="B135" s="43" t="str">
        <x:v>Model</x:v>
      </x:c>
      <x:c r="C135" s="42" t="str">
        <x:v>positive</x:v>
      </x:c>
      <x:c r="D135" s="42" t="str">
        <x:v>negative</x:v>
      </x:c>
      <x:c r="E135" s="42" t="str">
        <x:v>neutral</x:v>
      </x:c>
      <x:c r="F135" s="42" t="str">
        <x:v>Macro-F1</x:v>
      </x:c>
      <x:c r="G135" s="33"/>
      <x:c r="H135" s="33"/>
      <x:c r="I135" s="33"/>
      <x:c r="J135" s="33"/>
      <x:c r="K135" s="33"/>
      <x:c r="L135" s="33"/>
    </x:row>
    <x:row r="136" ht="24" customHeight="1">
      <x:c r="A136" s="33"/>
      <x:c r="B136" s="44" t="str">
        <x:v>nimble:9b</x:v>
      </x:c>
      <x:c r="C136" s="49" t="n">
        <x:v>0.8836571998006976</x:v>
      </x:c>
      <x:c r="D136" s="49" t="n">
        <x:v>0.7657657657657657</x:v>
      </x:c>
      <x:c r="E136" s="49" t="n">
        <x:v>0.22736285525446134</x:v>
      </x:c>
      <x:c r="F136" s="49" t="n">
        <x:f>AVERAGE(C136:E136)</x:f>
        <x:v>0.6255952736069749</x:v>
      </x:c>
      <x:c r="G136" s="33"/>
      <x:c r="H136" s="33"/>
      <x:c r="I136" s="33"/>
      <x:c r="J136" s="33"/>
      <x:c r="K136" s="33"/>
      <x:c r="L136" s="33"/>
    </x:row>
    <x:row r="137" ht="24" customHeight="1">
      <x:c r="A137" s="33"/>
      <x:c r="B137" s="44" t="str">
        <x:v>tev1:0.8b</x:v>
      </x:c>
      <x:c r="C137" s="49" t="n">
        <x:v>0.8527481270304316</x:v>
      </x:c>
      <x:c r="D137" s="49" t="n">
        <x:v>0.6880694143167028</x:v>
      </x:c>
      <x:c r="E137" s="49" t="n">
        <x:v>0.2839295854628052</x:v>
      </x:c>
      <x:c r="F137" s="49" t="n">
        <x:f>AVERAGE(C137:E137)</x:f>
        <x:v>0.6082490422699799</x:v>
      </x:c>
      <x:c r="G137" s="33"/>
      <x:c r="H137" s="33"/>
      <x:c r="I137" s="33"/>
      <x:c r="J137" s="33"/>
      <x:c r="K137" s="33"/>
      <x:c r="L137" s="33"/>
    </x:row>
    <x:row r="138" ht="24" customHeight="1">
      <x:c r="A138" s="33"/>
      <x:c r="B138" s="44" t="str">
        <x:v>tev1:4b</x:v>
      </x:c>
      <x:c r="C138" s="49" t="n">
        <x:v>0.8894212583532972</x:v>
      </x:c>
      <x:c r="D138" s="51" t="n">
        <x:v>0.7680708080642518</x:v>
      </x:c>
      <x:c r="E138" s="51" t="n">
        <x:v>0.3682878830475119</x:v>
      </x:c>
      <x:c r="F138" s="51" t="n">
        <x:f>AVERAGE(C138:E138)</x:f>
        <x:v>0.6752599831550202</x:v>
      </x:c>
      <x:c r="G138" s="33"/>
      <x:c r="H138" s="33"/>
      <x:c r="I138" s="33"/>
      <x:c r="J138" s="33"/>
      <x:c r="K138" s="33"/>
      <x:c r="L138" s="33"/>
    </x:row>
    <x:row r="139" ht="24" customHeight="1">
      <x:c r="A139" s="33"/>
      <x:c r="B139" s="47" t="str">
        <x:v>typesafe/jev-1.13</x:v>
      </x:c>
      <x:c r="C139" s="50" t="n">
        <x:v>0.9014743131778918</x:v>
      </x:c>
      <x:c r="D139" s="52" t="n">
        <x:v>0.7368275097060455</x:v>
      </x:c>
      <x:c r="E139" s="52" t="n">
        <x:v>0.19787014771556166</x:v>
      </x:c>
      <x:c r="F139" s="52" t="n">
        <x:f>AVERAGE(C139:E139)</x:f>
        <x:v>0.6120573235331662</x:v>
      </x:c>
      <x:c r="G139" s="33"/>
      <x:c r="H139" s="33"/>
      <x:c r="I139" s="33"/>
      <x:c r="J139" s="33"/>
      <x:c r="K139" s="33"/>
      <x:c r="L139" s="33"/>
    </x:row>
    <x:row r="140" ht="24" customHeight="1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</x:row>
    <x:row r="141" ht="24" customHeight="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</x:row>
    <x:row r="142" ht="29" customHeight="1">
      <x:c r="A142" s="33"/>
      <x:c r="B142" s="36" t="str">
        <x:v>TABLE 14.</x:v>
      </x:c>
      <x:c r="C142" s="37" t="str">
        <x:v>Sentiment classification support.</x:v>
      </x:c>
      <x:c r="D142" s="37"/>
      <x:c r="E142" s="37"/>
      <x:c r="F142" s="37"/>
      <x:c r="G142" s="33"/>
      <x:c r="H142" s="33"/>
      <x:c r="I142" s="33"/>
      <x:c r="J142" s="33"/>
      <x:c r="K142" s="33"/>
      <x:c r="L142" s="33"/>
    </x:row>
    <x:row r="143" ht="21" customHeight="1">
      <x:c r="A143" s="33"/>
      <x:c r="B143" s="38" t="str">
        <x:v>Türkiye: sentiment_tr, n = 12,760</x:v>
      </x:c>
      <x:c r="C143" s="38"/>
      <x:c r="D143" s="38"/>
      <x:c r="E143" s="38"/>
      <x:c r="F143" s="38"/>
      <x:c r="G143" s="33"/>
      <x:c r="H143" s="33"/>
      <x:c r="I143" s="33"/>
      <x:c r="J143" s="33"/>
      <x:c r="K143" s="33"/>
      <x:c r="L143" s="33"/>
    </x:row>
    <x:row r="144" ht="9" customHeight="1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</x:row>
    <x:row r="145" ht="42" customHeight="1">
      <x:c r="A145" s="33"/>
      <x:c r="B145" s="43" t="str">
        <x:v>Model</x:v>
      </x:c>
      <x:c r="C145" s="42" t="str">
        <x:v>positive</x:v>
      </x:c>
      <x:c r="D145" s="42" t="str">
        <x:v>negative</x:v>
      </x:c>
      <x:c r="E145" s="42" t="str">
        <x:v>neutral</x:v>
      </x:c>
      <x:c r="F145" s="42" t="str">
        <x:v>Total</x:v>
      </x:c>
      <x:c r="G145" s="33"/>
      <x:c r="H145" s="33"/>
      <x:c r="I145" s="33"/>
      <x:c r="J145" s="33"/>
      <x:c r="K145" s="33"/>
      <x:c r="L145" s="33"/>
    </x:row>
    <x:row r="146" ht="24" customHeight="1">
      <x:c r="A146" s="33"/>
      <x:c r="B146" s="44" t="str">
        <x:v>nimble:9b</x:v>
      </x:c>
      <x:c r="C146" s="53" t="n">
        <x:v>7634</x:v>
      </x:c>
      <x:c r="D146" s="53" t="n">
        <x:v>2935</x:v>
      </x:c>
      <x:c r="E146" s="53" t="n">
        <x:v>2191</x:v>
      </x:c>
      <x:c r="F146" s="53" t="n">
        <x:f>SUM(C146:E146)</x:f>
        <x:v>12760</x:v>
      </x:c>
      <x:c r="G146" s="33"/>
      <x:c r="H146" s="33"/>
      <x:c r="I146" s="33"/>
      <x:c r="J146" s="33"/>
      <x:c r="K146" s="33"/>
      <x:c r="L146" s="33"/>
    </x:row>
    <x:row r="147" ht="24" customHeight="1">
      <x:c r="A147" s="33"/>
      <x:c r="B147" s="44" t="str">
        <x:v>tev1:0.8b</x:v>
      </x:c>
      <x:c r="C147" s="53" t="n">
        <x:v>7634</x:v>
      </x:c>
      <x:c r="D147" s="53" t="n">
        <x:v>2935</x:v>
      </x:c>
      <x:c r="E147" s="53" t="n">
        <x:v>2191</x:v>
      </x:c>
      <x:c r="F147" s="53" t="n">
        <x:f>SUM(C147:E147)</x:f>
        <x:v>12760</x:v>
      </x:c>
      <x:c r="G147" s="33"/>
      <x:c r="H147" s="33"/>
      <x:c r="I147" s="33"/>
      <x:c r="J147" s="33"/>
      <x:c r="K147" s="33"/>
      <x:c r="L147" s="33"/>
    </x:row>
    <x:row r="148" ht="24" customHeight="1">
      <x:c r="A148" s="33"/>
      <x:c r="B148" s="44" t="str">
        <x:v>tev1:4b</x:v>
      </x:c>
      <x:c r="C148" s="53" t="n">
        <x:v>7634</x:v>
      </x:c>
      <x:c r="D148" s="53" t="n">
        <x:v>2935</x:v>
      </x:c>
      <x:c r="E148" s="53" t="n">
        <x:v>2191</x:v>
      </x:c>
      <x:c r="F148" s="53" t="n">
        <x:f>SUM(C148:E148)</x:f>
        <x:v>12760</x:v>
      </x:c>
      <x:c r="G148" s="33"/>
      <x:c r="H148" s="33"/>
      <x:c r="I148" s="33"/>
      <x:c r="J148" s="33"/>
      <x:c r="K148" s="33"/>
      <x:c r="L148" s="33"/>
    </x:row>
    <x:row r="149" ht="24" customHeight="1">
      <x:c r="A149" s="33"/>
      <x:c r="B149" s="47" t="str">
        <x:v>typesafe/jev-1.13</x:v>
      </x:c>
      <x:c r="C149" s="54" t="n">
        <x:v>7634</x:v>
      </x:c>
      <x:c r="D149" s="54" t="n">
        <x:v>2935</x:v>
      </x:c>
      <x:c r="E149" s="54" t="n">
        <x:v>2191</x:v>
      </x:c>
      <x:c r="F149" s="54" t="n">
        <x:f>SUM(C149:E149)</x:f>
        <x:v>12760</x:v>
      </x:c>
      <x:c r="G149" s="33"/>
      <x:c r="H149" s="33"/>
      <x:c r="I149" s="33"/>
      <x:c r="J149" s="33"/>
      <x:c r="K149" s="33"/>
      <x:c r="L149" s="33"/>
    </x:row>
    <x:row r="150" ht="24" customHeight="1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</x:row>
    <x:row r="151" ht="24" customHeight="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</x:row>
    <x:row r="152" ht="29" customHeight="1">
      <x:c r="A152" s="33"/>
      <x:c r="B152" s="36" t="str">
        <x:v>TABLE 15.</x:v>
      </x:c>
      <x:c r="C152" s="37" t="str">
        <x:v>Emotion classification precision.</x:v>
      </x:c>
      <x:c r="D152" s="37"/>
      <x:c r="E152" s="37"/>
      <x:c r="F152" s="37"/>
      <x:c r="G152" s="37"/>
      <x:c r="H152" s="37"/>
      <x:c r="I152" s="37"/>
      <x:c r="J152" s="37"/>
      <x:c r="K152" s="37"/>
      <x:c r="L152" s="33"/>
    </x:row>
    <x:row r="153" ht="21" customHeight="1">
      <x:c r="A153" s="33"/>
      <x:c r="B153" s="38" t="str">
        <x:v>Türkiye: emotion_tr, n = 4,403</x:v>
      </x:c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3"/>
    </x:row>
    <x:row r="154" ht="9" customHeight="1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</x:row>
    <x:row r="155" ht="42" customHeight="1">
      <x:c r="A155" s="33"/>
      <x:c r="B155" s="43" t="str">
        <x:v>Model</x:v>
      </x:c>
      <x:c r="C155" s="42" t="str">
        <x:v>iğrenme</x:v>
      </x:c>
      <x:c r="D155" s="42" t="str">
        <x:v>korku</x:v>
      </x:c>
      <x:c r="E155" s="42" t="str">
        <x:v>minnet</x:v>
      </x:c>
      <x:c r="F155" s="42" t="str">
        <x:v>pişmanlık</x:v>
      </x:c>
      <x:c r="G155" s="42" t="str">
        <x:v>mutluluk</x:v>
      </x:c>
      <x:c r="H155" s="42" t="str">
        <x:v>öfke</x:v>
      </x:c>
      <x:c r="I155" s="42" t="str">
        <x:v>şaşkınlık</x:v>
      </x:c>
      <x:c r="J155" s="42" t="str">
        <x:v>üzüntü</x:v>
      </x:c>
      <x:c r="K155" s="42" t="str">
        <x:v>Macro-
Precision</x:v>
      </x:c>
      <x:c r="L155" s="33"/>
    </x:row>
    <x:row r="156" ht="24" customHeight="1">
      <x:c r="A156" s="33"/>
      <x:c r="B156" s="44" t="str">
        <x:v>nimble:9b</x:v>
      </x:c>
      <x:c r="C156" s="49" t="n">
        <x:v>0.6795422031473534</x:v>
      </x:c>
      <x:c r="D156" s="49" t="n">
        <x:v>0.8053097345132744</x:v>
      </x:c>
      <x:c r="E156" s="49" t="n">
        <x:v>0.8590604026845637</x:v>
      </x:c>
      <x:c r="F156" s="49" t="n">
        <x:v>0.7884940778341794</x:v>
      </x:c>
      <x:c r="G156" s="49" t="n">
        <x:v>0.6339869281045751</x:v>
      </x:c>
      <x:c r="H156" s="49" t="n">
        <x:v>0.6559139784946236</x:v>
      </x:c>
      <x:c r="I156" s="49" t="n">
        <x:v>0.6848249027237354</x:v>
      </x:c>
      <x:c r="J156" s="49" t="n">
        <x:v>0.6235294117647059</x:v>
      </x:c>
      <x:c r="K156" s="49" t="n">
        <x:f>AVERAGE(C156:J156)</x:f>
        <x:v>0.7163327049083763</x:v>
      </x:c>
      <x:c r="L156" s="33"/>
    </x:row>
    <x:row r="157" ht="24" customHeight="1">
      <x:c r="A157" s="33"/>
      <x:c r="B157" s="44" t="str">
        <x:v>tev1:0.8b</x:v>
      </x:c>
      <x:c r="C157" s="49" t="n">
        <x:v>0.2305194805194805</x:v>
      </x:c>
      <x:c r="D157" s="51" t="n">
        <x:v>0.8426573426573427</x:v>
      </x:c>
      <x:c r="E157" s="49" t="n">
        <x:v>0.8411764705882353</x:v>
      </x:c>
      <x:c r="F157" s="49" t="n">
        <x:v>0.5107458912768648</x:v>
      </x:c>
      <x:c r="G157" s="49" t="n">
        <x:v>0.5128205128205128</x:v>
      </x:c>
      <x:c r="H157" s="49" t="n">
        <x:v>0.4972375690607735</x:v>
      </x:c>
      <x:c r="I157" s="49" t="n">
        <x:v>0.7091836734693877</x:v>
      </x:c>
      <x:c r="J157" s="49" t="n">
        <x:v>0.4318181818181818</x:v>
      </x:c>
      <x:c r="K157" s="49" t="n">
        <x:f>AVERAGE(C157:J157)</x:f>
        <x:v>0.5720198902763474</x:v>
      </x:c>
      <x:c r="L157" s="33"/>
    </x:row>
    <x:row r="158" ht="24" customHeight="1">
      <x:c r="A158" s="33"/>
      <x:c r="B158" s="44" t="str">
        <x:v>tev1:4b</x:v>
      </x:c>
      <x:c r="C158" s="49" t="n">
        <x:v>0.5279299014238773</x:v>
      </x:c>
      <x:c r="D158" s="49" t="n">
        <x:v>0.8113948919449901</x:v>
      </x:c>
      <x:c r="E158" s="49" t="n">
        <x:v>0.8511627906976744</x:v>
      </x:c>
      <x:c r="F158" s="49" t="n">
        <x:v>0.7508710801393729</x:v>
      </x:c>
      <x:c r="G158" s="49" t="n">
        <x:v>0.6252129471890971</x:v>
      </x:c>
      <x:c r="H158" s="51" t="n">
        <x:v>0.6829268292682927</x:v>
      </x:c>
      <x:c r="I158" s="49" t="n">
        <x:v>0.6151260504201681</x:v>
      </x:c>
      <x:c r="J158" s="49" t="n">
        <x:v>0.5826771653543307</x:v>
      </x:c>
      <x:c r="K158" s="49" t="n">
        <x:f>AVERAGE(C158:J158)</x:f>
        <x:v>0.6809127070547255</x:v>
      </x:c>
      <x:c r="L158" s="33"/>
    </x:row>
    <x:row r="159" ht="24" customHeight="1">
      <x:c r="A159" s="33"/>
      <x:c r="B159" s="47" t="str">
        <x:v>typesafe/jev-1.13</x:v>
      </x:c>
      <x:c r="C159" s="50" t="n">
        <x:v>0.8</x:v>
      </x:c>
      <x:c r="D159" s="52" t="n">
        <x:v>0.8204697986577181</x:v>
      </x:c>
      <x:c r="E159" s="50" t="n">
        <x:v>0.9287410926365796</x:v>
      </x:c>
      <x:c r="F159" s="50" t="n">
        <x:v>0.8594890510948905</x:v>
      </x:c>
      <x:c r="G159" s="50" t="n">
        <x:v>0.6698412698412698</x:v>
      </x:c>
      <x:c r="H159" s="52" t="n">
        <x:v>0.6524163568773235</x:v>
      </x:c>
      <x:c r="I159" s="50" t="n">
        <x:v>0.7489451476793249</x:v>
      </x:c>
      <x:c r="J159" s="50" t="n">
        <x:v>0.6235679214402619</x:v>
      </x:c>
      <x:c r="K159" s="50" t="n">
        <x:f>AVERAGE(C159:J159)</x:f>
        <x:v>0.762933829778421</x:v>
      </x:c>
      <x:c r="L159" s="33"/>
    </x:row>
    <x:row r="160" ht="24" customHeight="1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</x:row>
    <x:row r="161" ht="24" customHeight="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</x:row>
    <x:row r="162" ht="29" customHeight="1">
      <x:c r="A162" s="33"/>
      <x:c r="B162" s="36" t="str">
        <x:v>TABLE 16.</x:v>
      </x:c>
      <x:c r="C162" s="37" t="str">
        <x:v>Emotion classification recall.</x:v>
      </x:c>
      <x:c r="D162" s="37"/>
      <x:c r="E162" s="37"/>
      <x:c r="F162" s="37"/>
      <x:c r="G162" s="37"/>
      <x:c r="H162" s="37"/>
      <x:c r="I162" s="37"/>
      <x:c r="J162" s="37"/>
      <x:c r="K162" s="37"/>
      <x:c r="L162" s="33"/>
    </x:row>
    <x:row r="163" ht="21" customHeight="1">
      <x:c r="A163" s="33"/>
      <x:c r="B163" s="38" t="str">
        <x:v>Türkiye: emotion_tr, n = 4,403</x:v>
      </x:c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3"/>
    </x:row>
    <x:row r="164" ht="9" customHeight="1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</x:row>
    <x:row r="165" ht="42" customHeight="1">
      <x:c r="A165" s="33"/>
      <x:c r="B165" s="43" t="str">
        <x:v>Model</x:v>
      </x:c>
      <x:c r="C165" s="42" t="str">
        <x:v>iğrenme</x:v>
      </x:c>
      <x:c r="D165" s="42" t="str">
        <x:v>korku</x:v>
      </x:c>
      <x:c r="E165" s="42" t="str">
        <x:v>minnet</x:v>
      </x:c>
      <x:c r="F165" s="42" t="str">
        <x:v>pişmanlık</x:v>
      </x:c>
      <x:c r="G165" s="42" t="str">
        <x:v>mutluluk</x:v>
      </x:c>
      <x:c r="H165" s="42" t="str">
        <x:v>öfke</x:v>
      </x:c>
      <x:c r="I165" s="42" t="str">
        <x:v>şaşkınlık</x:v>
      </x:c>
      <x:c r="J165" s="42" t="str">
        <x:v>üzüntü</x:v>
      </x:c>
      <x:c r="K165" s="42" t="str">
        <x:v>Macro-
Recall</x:v>
      </x:c>
      <x:c r="L165" s="33"/>
    </x:row>
    <x:row r="166" ht="24" customHeight="1">
      <x:c r="A166" s="33"/>
      <x:c r="B166" s="44" t="str">
        <x:v>nimble:9b</x:v>
      </x:c>
      <x:c r="C166" s="49" t="n">
        <x:v>0.8620689655172413</x:v>
      </x:c>
      <x:c r="D166" s="49" t="n">
        <x:v>0.8257713248638838</x:v>
      </x:c>
      <x:c r="E166" s="49" t="n">
        <x:v>0.6981818181818182</x:v>
      </x:c>
      <x:c r="F166" s="49" t="n">
        <x:v>0.8472727272727273</x:v>
      </x:c>
      <x:c r="G166" s="49" t="n">
        <x:v>0.7054545454545454</x:v>
      </x:c>
      <x:c r="H166" s="49" t="n">
        <x:v>0.5535390199637024</x:v>
      </x:c>
      <x:c r="I166" s="49" t="n">
        <x:v>0.64</x:v>
      </x:c>
      <x:c r="J166" s="49" t="n">
        <x:v>0.5781818181818181</x:v>
      </x:c>
      <x:c r="K166" s="49" t="n">
        <x:f>AVERAGE(C166:J166)</x:f>
        <x:v>0.713808777429467</x:v>
      </x:c>
      <x:c r="L166" s="33"/>
    </x:row>
    <x:row r="167" ht="24" customHeight="1">
      <x:c r="A167" s="33"/>
      <x:c r="B167" s="44" t="str">
        <x:v>tev1:0.8b</x:v>
      </x:c>
      <x:c r="C167" s="49" t="n">
        <x:v>0.7731397459165155</x:v>
      </x:c>
      <x:c r="D167" s="49" t="n">
        <x:v>0.43738656987295826</x:v>
      </x:c>
      <x:c r="E167" s="49" t="n">
        <x:v>0.52</x:v>
      </x:c>
      <x:c r="F167" s="49" t="n">
        <x:v>0.7345454545454545</x:v>
      </x:c>
      <x:c r="G167" s="49" t="n">
        <x:v>0.5454545454545454</x:v>
      </x:c>
      <x:c r="H167" s="49" t="n">
        <x:v>0.16333938294010888</x:v>
      </x:c>
      <x:c r="I167" s="49" t="n">
        <x:v>0.25272727272727274</x:v>
      </x:c>
      <x:c r="J167" s="49" t="n">
        <x:v>0.13818181818181818</x:v>
      </x:c>
      <x:c r="K167" s="49" t="n">
        <x:f>AVERAGE(C167:J167)</x:f>
        <x:v>0.44559684870483424</x:v>
      </x:c>
      <x:c r="L167" s="33"/>
    </x:row>
    <x:row r="168" ht="24" customHeight="1">
      <x:c r="A168" s="33"/>
      <x:c r="B168" s="44" t="str">
        <x:v>tev1:4b</x:v>
      </x:c>
      <x:c r="C168" s="51" t="n">
        <x:v>0.8747731397459165</x:v>
      </x:c>
      <x:c r="D168" s="49" t="n">
        <x:v>0.7495462794918331</x:v>
      </x:c>
      <x:c r="E168" s="49" t="n">
        <x:v>0.6654545454545454</x:v>
      </x:c>
      <x:c r="F168" s="49" t="n">
        <x:v>0.7836363636363637</x:v>
      </x:c>
      <x:c r="G168" s="49" t="n">
        <x:v>0.6672727272727272</x:v>
      </x:c>
      <x:c r="H168" s="49" t="n">
        <x:v>0.35571687840290384</x:v>
      </x:c>
      <x:c r="I168" s="51" t="n">
        <x:v>0.6654545454545454</x:v>
      </x:c>
      <x:c r="J168" s="49" t="n">
        <x:v>0.5381818181818182</x:v>
      </x:c>
      <x:c r="K168" s="49" t="n">
        <x:f>AVERAGE(C168:J168)</x:f>
        <x:v>0.6625045372050816</x:v>
      </x:c>
      <x:c r="L168" s="33"/>
    </x:row>
    <x:row r="169" ht="24" customHeight="1">
      <x:c r="A169" s="33"/>
      <x:c r="B169" s="47" t="str">
        <x:v>typesafe/jev-1.13</x:v>
      </x:c>
      <x:c r="C169" s="52" t="n">
        <x:v>0.8493647912885662</x:v>
      </x:c>
      <x:c r="D169" s="50" t="n">
        <x:v>0.8874773139745916</x:v>
      </x:c>
      <x:c r="E169" s="50" t="n">
        <x:v>0.7109090909090909</x:v>
      </x:c>
      <x:c r="F169" s="50" t="n">
        <x:v>0.8563636363636363</x:v>
      </x:c>
      <x:c r="G169" s="50" t="n">
        <x:v>0.7672727272727272</x:v>
      </x:c>
      <x:c r="H169" s="50" t="n">
        <x:v>0.6370235934664247</x:v>
      </x:c>
      <x:c r="I169" s="52" t="n">
        <x:v>0.6454545454545455</x:v>
      </x:c>
      <x:c r="J169" s="50" t="n">
        <x:v>0.6927272727272727</x:v>
      </x:c>
      <x:c r="K169" s="50" t="n">
        <x:f>AVERAGE(C169:J169)</x:f>
        <x:v>0.7558241214321069</x:v>
      </x:c>
      <x:c r="L169" s="33"/>
    </x:row>
    <x:row r="170" ht="24" customHeight="1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</x:row>
    <x:row r="171" ht="24" customHeight="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</x:row>
    <x:row r="172" ht="29" customHeight="1">
      <x:c r="A172" s="33"/>
      <x:c r="B172" s="36" t="str">
        <x:v>TABLE 17.</x:v>
      </x:c>
      <x:c r="C172" s="37" t="str">
        <x:v>Emotion classification F1.</x:v>
      </x:c>
      <x:c r="D172" s="37"/>
      <x:c r="E172" s="37"/>
      <x:c r="F172" s="37"/>
      <x:c r="G172" s="37"/>
      <x:c r="H172" s="37"/>
      <x:c r="I172" s="37"/>
      <x:c r="J172" s="37"/>
      <x:c r="K172" s="37"/>
      <x:c r="L172" s="33"/>
    </x:row>
    <x:row r="173" ht="21" customHeight="1">
      <x:c r="A173" s="33"/>
      <x:c r="B173" s="38" t="str">
        <x:v>Türkiye: emotion_tr, n = 4,403</x:v>
      </x:c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3"/>
    </x:row>
    <x:row r="174" ht="9" customHeight="1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</x:row>
    <x:row r="175" ht="42" customHeight="1">
      <x:c r="A175" s="33"/>
      <x:c r="B175" s="43" t="str">
        <x:v>Model</x:v>
      </x:c>
      <x:c r="C175" s="42" t="str">
        <x:v>iğrenme</x:v>
      </x:c>
      <x:c r="D175" s="42" t="str">
        <x:v>korku</x:v>
      </x:c>
      <x:c r="E175" s="42" t="str">
        <x:v>minnet</x:v>
      </x:c>
      <x:c r="F175" s="42" t="str">
        <x:v>pişmanlık</x:v>
      </x:c>
      <x:c r="G175" s="42" t="str">
        <x:v>mutluluk</x:v>
      </x:c>
      <x:c r="H175" s="42" t="str">
        <x:v>öfke</x:v>
      </x:c>
      <x:c r="I175" s="42" t="str">
        <x:v>şaşkınlık</x:v>
      </x:c>
      <x:c r="J175" s="42" t="str">
        <x:v>üzüntü</x:v>
      </x:c>
      <x:c r="K175" s="42" t="str">
        <x:v>Macro-F1</x:v>
      </x:c>
      <x:c r="L175" s="33"/>
    </x:row>
    <x:row r="176" ht="24" customHeight="1">
      <x:c r="A176" s="33"/>
      <x:c r="B176" s="44" t="str">
        <x:v>nimble:9b</x:v>
      </x:c>
      <x:c r="C176" s="49" t="n">
        <x:v>0.76</x:v>
      </x:c>
      <x:c r="D176" s="49" t="n">
        <x:v>0.8154121863799283</x:v>
      </x:c>
      <x:c r="E176" s="49" t="n">
        <x:v>0.7703109327983951</x:v>
      </x:c>
      <x:c r="F176" s="49" t="n">
        <x:v>0.8168273444347064</x:v>
      </x:c>
      <x:c r="G176" s="49" t="n">
        <x:v>0.6678141135972461</x:v>
      </x:c>
      <x:c r="H176" s="49" t="n">
        <x:v>0.6003937007874016</x:v>
      </x:c>
      <x:c r="I176" s="49" t="n">
        <x:v>0.6616541353383458</x:v>
      </x:c>
      <x:c r="J176" s="49" t="n">
        <x:v>0.6</x:v>
      </x:c>
      <x:c r="K176" s="49" t="n">
        <x:f>AVERAGE(C176:J176)</x:f>
        <x:v>0.711551551667003</x:v>
      </x:c>
      <x:c r="L176" s="33"/>
    </x:row>
    <x:row r="177" ht="24" customHeight="1">
      <x:c r="A177" s="33"/>
      <x:c r="B177" s="44" t="str">
        <x:v>tev1:0.8b</x:v>
      </x:c>
      <x:c r="C177" s="49" t="n">
        <x:v>0.3551479783243018</x:v>
      </x:c>
      <x:c r="D177" s="49" t="n">
        <x:v>0.5758661887694145</x:v>
      </x:c>
      <x:c r="E177" s="49" t="n">
        <x:v>0.6426966292134831</x:v>
      </x:c>
      <x:c r="F177" s="49" t="n">
        <x:v>0.6025354213273676</x:v>
      </x:c>
      <x:c r="G177" s="49" t="n">
        <x:v>0.5286343612334802</x:v>
      </x:c>
      <x:c r="H177" s="49" t="n">
        <x:v>0.2459016393442623</x:v>
      </x:c>
      <x:c r="I177" s="49" t="n">
        <x:v>0.3726541554959786</x:v>
      </x:c>
      <x:c r="J177" s="49" t="n">
        <x:v>0.209366391184573</x:v>
      </x:c>
      <x:c r="K177" s="49" t="n">
        <x:f>AVERAGE(C177:J177)</x:f>
        <x:v>0.44160034561160766</x:v>
      </x:c>
      <x:c r="L177" s="33"/>
    </x:row>
    <x:row r="178" ht="24" customHeight="1">
      <x:c r="A178" s="33"/>
      <x:c r="B178" s="44" t="str">
        <x:v>tev1:4b</x:v>
      </x:c>
      <x:c r="C178" s="49" t="n">
        <x:v>0.6584699453551912</x:v>
      </x:c>
      <x:c r="D178" s="49" t="n">
        <x:v>0.779245283018868</x:v>
      </x:c>
      <x:c r="E178" s="49" t="n">
        <x:v>0.746938775510204</x:v>
      </x:c>
      <x:c r="F178" s="49" t="n">
        <x:v>0.7669039145907474</x:v>
      </x:c>
      <x:c r="G178" s="49" t="n">
        <x:v>0.6455584872471416</x:v>
      </x:c>
      <x:c r="H178" s="49" t="n">
        <x:v>0.4677804295942721</x:v>
      </x:c>
      <x:c r="I178" s="49" t="n">
        <x:v>0.6393013100436681</x:v>
      </x:c>
      <x:c r="J178" s="49" t="n">
        <x:v>0.5595463137996219</x:v>
      </x:c>
      <x:c r="K178" s="49" t="n">
        <x:f>AVERAGE(C178:J178)</x:f>
        <x:v>0.6579680573949642</x:v>
      </x:c>
      <x:c r="L178" s="33"/>
    </x:row>
    <x:row r="179" ht="24" customHeight="1">
      <x:c r="A179" s="33"/>
      <x:c r="B179" s="47" t="str">
        <x:v>typesafe/jev-1.13</x:v>
      </x:c>
      <x:c r="C179" s="50" t="n">
        <x:v>0.823943661971831</x:v>
      </x:c>
      <x:c r="D179" s="50" t="n">
        <x:v>0.8526591107236269</x:v>
      </x:c>
      <x:c r="E179" s="50" t="n">
        <x:v>0.8053553038105047</x:v>
      </x:c>
      <x:c r="F179" s="50" t="n">
        <x:v>0.8579234972677595</x:v>
      </x:c>
      <x:c r="G179" s="50" t="n">
        <x:v>0.7152542372881356</x:v>
      </x:c>
      <x:c r="H179" s="50" t="n">
        <x:v>0.6446280991735537</x:v>
      </x:c>
      <x:c r="I179" s="50" t="n">
        <x:v>0.693359375</x:v>
      </x:c>
      <x:c r="J179" s="50" t="n">
        <x:v>0.6563307493540051</x:v>
      </x:c>
      <x:c r="K179" s="50" t="n">
        <x:f>AVERAGE(C179:J179)</x:f>
        <x:v>0.7561817543236771</x:v>
      </x:c>
      <x:c r="L179" s="33"/>
    </x:row>
    <x:row r="180" ht="24" customHeight="1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</x:row>
    <x:row r="181" ht="24" customHeight="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</x:row>
    <x:row r="182" ht="29" customHeight="1">
      <x:c r="A182" s="33"/>
      <x:c r="B182" s="36" t="str">
        <x:v>TABLE 18.</x:v>
      </x:c>
      <x:c r="C182" s="37" t="str">
        <x:v>Emotion classification support.</x:v>
      </x:c>
      <x:c r="D182" s="37"/>
      <x:c r="E182" s="37"/>
      <x:c r="F182" s="37"/>
      <x:c r="G182" s="37"/>
      <x:c r="H182" s="37"/>
      <x:c r="I182" s="37"/>
      <x:c r="J182" s="37"/>
      <x:c r="K182" s="37"/>
      <x:c r="L182" s="33"/>
    </x:row>
    <x:row r="183" ht="21" customHeight="1">
      <x:c r="A183" s="33"/>
      <x:c r="B183" s="38" t="str">
        <x:v>Türkiye: emotion_tr, n = 4,403</x:v>
      </x:c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3"/>
    </x:row>
    <x:row r="184" ht="9" customHeight="1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</x:row>
    <x:row r="185" ht="42" customHeight="1">
      <x:c r="A185" s="33"/>
      <x:c r="B185" s="43" t="str">
        <x:v>Model</x:v>
      </x:c>
      <x:c r="C185" s="42" t="str">
        <x:v>iğrenme</x:v>
      </x:c>
      <x:c r="D185" s="42" t="str">
        <x:v>korku</x:v>
      </x:c>
      <x:c r="E185" s="42" t="str">
        <x:v>minnet</x:v>
      </x:c>
      <x:c r="F185" s="42" t="str">
        <x:v>pişmanlık</x:v>
      </x:c>
      <x:c r="G185" s="42" t="str">
        <x:v>mutluluk</x:v>
      </x:c>
      <x:c r="H185" s="42" t="str">
        <x:v>öfke</x:v>
      </x:c>
      <x:c r="I185" s="42" t="str">
        <x:v>şaşkınlık</x:v>
      </x:c>
      <x:c r="J185" s="42" t="str">
        <x:v>üzüntü</x:v>
      </x:c>
      <x:c r="K185" s="42" t="str">
        <x:v>Total</x:v>
      </x:c>
      <x:c r="L185" s="33"/>
    </x:row>
    <x:row r="186" ht="24" customHeight="1">
      <x:c r="A186" s="33"/>
      <x:c r="B186" s="44" t="str">
        <x:v>nimble:9b</x:v>
      </x:c>
      <x:c r="C186" s="53" t="n">
        <x:v>551</x:v>
      </x:c>
      <x:c r="D186" s="53" t="n">
        <x:v>551</x:v>
      </x:c>
      <x:c r="E186" s="53" t="n">
        <x:v>550</x:v>
      </x:c>
      <x:c r="F186" s="53" t="n">
        <x:v>550</x:v>
      </x:c>
      <x:c r="G186" s="53" t="n">
        <x:v>550</x:v>
      </x:c>
      <x:c r="H186" s="53" t="n">
        <x:v>551</x:v>
      </x:c>
      <x:c r="I186" s="53" t="n">
        <x:v>550</x:v>
      </x:c>
      <x:c r="J186" s="53" t="n">
        <x:v>550</x:v>
      </x:c>
      <x:c r="K186" s="53" t="n">
        <x:f>SUM(C186:J186)</x:f>
        <x:v>4403</x:v>
      </x:c>
      <x:c r="L186" s="33"/>
    </x:row>
    <x:row r="187" ht="24" customHeight="1">
      <x:c r="A187" s="33"/>
      <x:c r="B187" s="44" t="str">
        <x:v>tev1:0.8b</x:v>
      </x:c>
      <x:c r="C187" s="53" t="n">
        <x:v>551</x:v>
      </x:c>
      <x:c r="D187" s="53" t="n">
        <x:v>551</x:v>
      </x:c>
      <x:c r="E187" s="53" t="n">
        <x:v>550</x:v>
      </x:c>
      <x:c r="F187" s="53" t="n">
        <x:v>550</x:v>
      </x:c>
      <x:c r="G187" s="53" t="n">
        <x:v>550</x:v>
      </x:c>
      <x:c r="H187" s="53" t="n">
        <x:v>551</x:v>
      </x:c>
      <x:c r="I187" s="53" t="n">
        <x:v>550</x:v>
      </x:c>
      <x:c r="J187" s="53" t="n">
        <x:v>550</x:v>
      </x:c>
      <x:c r="K187" s="53" t="n">
        <x:f>SUM(C187:J187)</x:f>
        <x:v>4403</x:v>
      </x:c>
      <x:c r="L187" s="33"/>
    </x:row>
    <x:row r="188" ht="24" customHeight="1">
      <x:c r="A188" s="33"/>
      <x:c r="B188" s="44" t="str">
        <x:v>tev1:4b</x:v>
      </x:c>
      <x:c r="C188" s="53" t="n">
        <x:v>551</x:v>
      </x:c>
      <x:c r="D188" s="53" t="n">
        <x:v>551</x:v>
      </x:c>
      <x:c r="E188" s="53" t="n">
        <x:v>550</x:v>
      </x:c>
      <x:c r="F188" s="53" t="n">
        <x:v>550</x:v>
      </x:c>
      <x:c r="G188" s="53" t="n">
        <x:v>550</x:v>
      </x:c>
      <x:c r="H188" s="53" t="n">
        <x:v>551</x:v>
      </x:c>
      <x:c r="I188" s="53" t="n">
        <x:v>550</x:v>
      </x:c>
      <x:c r="J188" s="53" t="n">
        <x:v>550</x:v>
      </x:c>
      <x:c r="K188" s="53" t="n">
        <x:f>SUM(C188:J188)</x:f>
        <x:v>4403</x:v>
      </x:c>
      <x:c r="L188" s="33"/>
    </x:row>
    <x:row r="189" ht="24" customHeight="1">
      <x:c r="A189" s="33"/>
      <x:c r="B189" s="47" t="str">
        <x:v>typesafe/jev-1.13</x:v>
      </x:c>
      <x:c r="C189" s="54" t="n">
        <x:v>551</x:v>
      </x:c>
      <x:c r="D189" s="54" t="n">
        <x:v>551</x:v>
      </x:c>
      <x:c r="E189" s="54" t="n">
        <x:v>550</x:v>
      </x:c>
      <x:c r="F189" s="54" t="n">
        <x:v>550</x:v>
      </x:c>
      <x:c r="G189" s="54" t="n">
        <x:v>550</x:v>
      </x:c>
      <x:c r="H189" s="54" t="n">
        <x:v>551</x:v>
      </x:c>
      <x:c r="I189" s="54" t="n">
        <x:v>550</x:v>
      </x:c>
      <x:c r="J189" s="54" t="n">
        <x:v>550</x:v>
      </x:c>
      <x:c r="K189" s="54" t="n">
        <x:f>SUM(C189:J189)</x:f>
        <x:v>4403</x:v>
      </x:c>
      <x:c r="L189" s="33"/>
    </x:row>
    <x:row r="190" ht="24" customHeight="1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</x:row>
    <x:row r="191" ht="24" customHeight="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</x:row>
    <x:row r="192" ht="23" customHeight="1">
      <x:c r="A192" s="33"/>
      <x:c r="B192" s="38" t="str">
        <x:v>Macro-Precision, Macro-Recall and Macro-F1 are unweighted averages across the classes shown.</x:v>
      </x:c>
      <x:c r="C192" s="38"/>
      <x:c r="D192" s="38"/>
      <x:c r="E192" s="38"/>
      <x:c r="F192" s="38"/>
      <x:c r="G192" s="38"/>
      <x:c r="H192" s="38"/>
      <x:c r="I192" s="38"/>
      <x:c r="J192" s="33"/>
      <x:c r="K192" s="33"/>
      <x:c r="L192" s="33"/>
    </x:row>
    <x:row r="193" ht="23" customHeight="1">
      <x:c r="A193" s="33"/>
      <x:c r="B193" s="38" t="str">
        <x:v>Support is the number of true examples in each class. Total support is calculated across classes.</x:v>
      </x:c>
      <x:c r="C193" s="38"/>
      <x:c r="D193" s="38"/>
      <x:c r="E193" s="38"/>
      <x:c r="F193" s="38"/>
      <x:c r="G193" s="38"/>
      <x:c r="H193" s="38"/>
      <x:c r="I193" s="38"/>
      <x:c r="J193" s="33"/>
      <x:c r="K193" s="33"/>
      <x:c r="L193" s="33"/>
    </x:row>
    <x:row r="194" ht="23" customHeight="1">
      <x:c r="A194" s="33"/>
      <x:c r="B194" s="38" t="str">
        <x:v>Best scores are bold within each country and class; ties are included. Original class labels are retained.</x:v>
      </x:c>
      <x:c r="C194" s="38"/>
      <x:c r="D194" s="38"/>
      <x:c r="E194" s="38"/>
      <x:c r="F194" s="38"/>
      <x:c r="G194" s="38"/>
      <x:c r="H194" s="38"/>
      <x:c r="I194" s="38"/>
      <x:c r="J194" s="33"/>
      <x:c r="K194" s="33"/>
      <x:c r="L194" s="33"/>
    </x:row>
    <x:row r="195" ht="24" customHeight="1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</x:row>
    <x:row r="196" ht="24" customHeight="1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</x:row>
    <x:row r="197" ht="24" customHeight="1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</x:row>
    <x:row r="198" ht="24" customHeight="1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</x:row>
    <x:row r="199" ht="24" customHeight="1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</x:row>
    <x:row r="200" ht="24" customHeight="1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</x:row>
    <x:row r="201" ht="24" customHeight="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</x:row>
    <x:row r="202" ht="24" customHeight="1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</x:row>
    <x:row r="203" ht="24" customHeight="1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</x:row>
    <x:row r="204" ht="24" customHeight="1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</x:row>
    <x:row r="205" ht="24" customHeight="1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</x:row>
    <x:row r="206" ht="24" customHeight="1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</x:row>
    <x:row r="207" ht="24" customHeight="1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</x:row>
    <x:row r="208" ht="24" customHeight="1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</x:row>
    <x:row r="209" ht="24" customHeight="1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</x:row>
    <x:row r="210" ht="24" customHeight="1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</x:row>
    <x:row r="211" ht="24" customHeight="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</x:row>
    <x:row r="212" ht="24" customHeight="1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</x:row>
    <x:row r="213" ht="24" customHeight="1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</x:row>
    <x:row r="214" ht="24" customHeight="1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</x:row>
    <x:row r="215" ht="24" customHeight="1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</x:row>
    <x:row r="216" ht="24" customHeight="1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</x:row>
    <x:row r="217" ht="24" customHeight="1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</x:row>
    <x:row r="218" ht="24" customHeight="1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</x:row>
    <x:row r="219" ht="24" customHeight="1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</x:row>
    <x:row r="220" ht="24" customHeight="1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</x:row>
    <x:row r="221" ht="24" customHeight="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</x:row>
    <x:row r="222" ht="24" customHeight="1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</x:row>
    <x:row r="223" ht="24" customHeight="1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</x:row>
    <x:row r="224" ht="24" customHeight="1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</x:row>
    <x:row r="225" ht="24" customHeight="1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</x:row>
    <x:row r="226" ht="24" customHeight="1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</x:row>
    <x:row r="227" ht="24" customHeight="1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</x:row>
    <x:row r="228" ht="24" customHeight="1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</x:row>
    <x:row r="229" ht="24" customHeight="1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</x:row>
    <x:row r="230" ht="24" customHeight="1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</x:row>
    <x:row r="231" ht="24" customHeight="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</x:row>
    <x:row r="232" ht="24" customHeight="1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</x:row>
    <x:row r="233" ht="24" customHeight="1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</x:row>
    <x:row r="234" ht="24" customHeight="1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</x:row>
    <x:row r="235" ht="24" customHeight="1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</x:row>
    <x:row r="236" ht="24" customHeight="1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</x:row>
    <x:row r="237" ht="24" customHeight="1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</x:row>
    <x:row r="238" ht="24" customHeight="1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</x:row>
    <x:row r="239" ht="24" customHeight="1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</x:row>
    <x:row r="240" ht="24" customHeight="1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</x:row>
    <x:row r="241" ht="24" customHeight="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</x:row>
    <x:row r="242" ht="24" customHeight="1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</x:row>
    <x:row r="243" ht="24" customHeight="1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</x:row>
    <x:row r="244" ht="24" customHeight="1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</x:row>
    <x:row r="245" ht="24" customHeight="1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</x:row>
    <x:row r="246" ht="24" customHeight="1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</x:row>
    <x:row r="247" ht="24" customHeight="1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</x:row>
    <x:row r="248" ht="24" customHeight="1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</x:row>
    <x:row r="249" ht="24" customHeight="1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</x:row>
    <x:row r="250" ht="24" customHeight="1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</x:row>
    <x:row r="251" ht="24" customHeight="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  <x:c r="L251" s="33"/>
    </x:row>
    <x:row r="252" ht="24" customHeight="1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33"/>
      <x:c r="K252" s="33"/>
      <x:c r="L252" s="33"/>
    </x:row>
    <x:row r="253" ht="24" customHeight="1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33"/>
      <x:c r="K253" s="33"/>
      <x:c r="L253" s="33"/>
    </x:row>
    <x:row r="254" ht="24" customHeight="1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33"/>
      <x:c r="K254" s="33"/>
      <x:c r="L254" s="33"/>
    </x:row>
    <x:row r="255" ht="24" customHeight="1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33"/>
      <x:c r="K255" s="33"/>
      <x:c r="L255" s="33"/>
    </x:row>
    <x:row r="256" ht="24" customHeight="1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33"/>
      <x:c r="K256" s="33"/>
      <x:c r="L256" s="33"/>
    </x:row>
    <x:row r="257" ht="24" customHeight="1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33"/>
      <x:c r="K257" s="33"/>
      <x:c r="L257" s="33"/>
    </x:row>
    <x:row r="258" ht="24" customHeight="1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33"/>
      <x:c r="K258" s="33"/>
      <x:c r="L258" s="33"/>
    </x:row>
    <x:row r="259" ht="24" customHeight="1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33"/>
      <x:c r="K259" s="33"/>
      <x:c r="L259" s="33"/>
    </x:row>
    <x:row r="260" ht="24" customHeight="1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33"/>
      <x:c r="K260" s="33"/>
      <x:c r="L260" s="33"/>
    </x:row>
    <x:row r="261" ht="24" customHeight="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33"/>
      <x:c r="K261" s="33"/>
      <x:c r="L261" s="33"/>
    </x:row>
    <x:row r="262" ht="24" customHeight="1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33"/>
      <x:c r="K262" s="33"/>
      <x:c r="L262" s="33"/>
    </x:row>
    <x:row r="263" ht="24" customHeight="1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  <x:c r="L263" s="33"/>
    </x:row>
    <x:row r="264" ht="24" customHeight="1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33"/>
      <x:c r="K264" s="33"/>
      <x:c r="L264" s="33"/>
    </x:row>
    <x:row r="265" ht="24" customHeight="1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33"/>
      <x:c r="K265" s="33"/>
      <x:c r="L265" s="33"/>
    </x:row>
    <x:row r="266" ht="24" customHeight="1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33"/>
      <x:c r="K266" s="33"/>
      <x:c r="L266" s="33"/>
    </x:row>
    <x:row r="267" ht="24" customHeight="1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33"/>
      <x:c r="K267" s="33"/>
      <x:c r="L267" s="33"/>
    </x:row>
    <x:row r="268" ht="24" customHeight="1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33"/>
      <x:c r="K268" s="33"/>
      <x:c r="L268" s="33"/>
    </x:row>
    <x:row r="269" ht="24" customHeight="1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33"/>
      <x:c r="K269" s="33"/>
      <x:c r="L269" s="33"/>
    </x:row>
    <x:row r="270" ht="24" customHeight="1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33"/>
      <x:c r="K270" s="33"/>
      <x:c r="L270" s="33"/>
    </x:row>
    <x:row r="271" ht="24" customHeight="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33"/>
      <x:c r="K271" s="33"/>
      <x:c r="L271" s="33"/>
    </x:row>
    <x:row r="272" ht="24" customHeight="1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33"/>
      <x:c r="K272" s="33"/>
      <x:c r="L272" s="33"/>
    </x:row>
    <x:row r="273" ht="24" customHeight="1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33"/>
      <x:c r="K273" s="33"/>
      <x:c r="L273" s="33"/>
    </x:row>
    <x:row r="274" ht="24" customHeight="1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33"/>
      <x:c r="K274" s="33"/>
      <x:c r="L274" s="33"/>
    </x:row>
    <x:row r="275" ht="24" customHeight="1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  <x:c r="L275" s="33"/>
    </x:row>
    <x:row r="276" ht="24" customHeight="1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33"/>
      <x:c r="K276" s="33"/>
      <x:c r="L276" s="33"/>
    </x:row>
    <x:row r="277" ht="24" customHeight="1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33"/>
      <x:c r="K277" s="33"/>
      <x:c r="L277" s="33"/>
    </x:row>
    <x:row r="278" ht="24" customHeight="1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33"/>
      <x:c r="K278" s="33"/>
      <x:c r="L278" s="33"/>
    </x:row>
    <x:row r="279" ht="24" customHeight="1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33"/>
      <x:c r="K279" s="33"/>
      <x:c r="L279" s="33"/>
    </x:row>
    <x:row r="280" ht="24" customHeight="1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33"/>
      <x:c r="K280" s="33"/>
      <x:c r="L280" s="33"/>
    </x:row>
    <x:row r="281" ht="24" customHeight="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33"/>
      <x:c r="K281" s="33"/>
      <x:c r="L281" s="33"/>
    </x:row>
    <x:row r="282" ht="24" customHeight="1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33"/>
      <x:c r="K282" s="33"/>
      <x:c r="L282" s="33"/>
    </x:row>
    <x:row r="283" ht="24" customHeight="1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33"/>
      <x:c r="K283" s="33"/>
      <x:c r="L283" s="33"/>
    </x:row>
    <x:row r="284" ht="24" customHeight="1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33"/>
      <x:c r="K284" s="33"/>
      <x:c r="L284" s="33"/>
    </x:row>
    <x:row r="285" ht="24" customHeight="1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33"/>
      <x:c r="K285" s="33"/>
      <x:c r="L285" s="33"/>
    </x:row>
    <x:row r="286" ht="24" customHeight="1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33"/>
      <x:c r="K286" s="33"/>
      <x:c r="L286" s="33"/>
    </x:row>
    <x:row r="287" ht="24" customHeight="1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</x:row>
    <x:row r="288" ht="24" customHeight="1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33"/>
      <x:c r="K288" s="33"/>
      <x:c r="L288" s="33"/>
    </x:row>
    <x:row r="289" ht="24" customHeight="1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33"/>
      <x:c r="K289" s="33"/>
      <x:c r="L289" s="33"/>
    </x:row>
    <x:row r="290" ht="24" customHeight="1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33"/>
      <x:c r="K290" s="33"/>
      <x:c r="L290" s="33"/>
    </x:row>
    <x:row r="291" ht="24" customHeight="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33"/>
      <x:c r="K291" s="33"/>
      <x:c r="L291" s="33"/>
    </x:row>
    <x:row r="292" ht="24" customHeight="1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33"/>
      <x:c r="K292" s="33"/>
      <x:c r="L292" s="33"/>
    </x:row>
    <x:row r="293" ht="24" customHeight="1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33"/>
      <x:c r="K293" s="33"/>
      <x:c r="L293" s="33"/>
    </x:row>
    <x:row r="294" ht="24" customHeight="1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33"/>
      <x:c r="K294" s="33"/>
      <x:c r="L294" s="33"/>
    </x:row>
    <x:row r="295" ht="24" customHeight="1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33"/>
      <x:c r="K295" s="33"/>
      <x:c r="L295" s="33"/>
    </x:row>
    <x:row r="296" ht="24" customHeight="1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33"/>
      <x:c r="K296" s="33"/>
      <x:c r="L296" s="33"/>
    </x:row>
    <x:row r="297" ht="24" customHeight="1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33"/>
      <x:c r="K297" s="33"/>
      <x:c r="L297" s="33"/>
    </x:row>
    <x:row r="298" ht="24" customHeight="1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33"/>
      <x:c r="K298" s="33"/>
      <x:c r="L298" s="33"/>
    </x:row>
    <x:row r="299" ht="24" customHeight="1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</x:row>
    <x:row r="300" ht="24" customHeight="1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33"/>
      <x:c r="K300" s="33"/>
      <x:c r="L300" s="33"/>
    </x:row>
  </x:sheetData>
  <x:mergeCells>
    <x:mergeCell ref="C2:F2"/>
    <x:mergeCell ref="B3:F3"/>
    <x:mergeCell ref="C12:F12"/>
    <x:mergeCell ref="B13:F13"/>
    <x:mergeCell ref="C22:F22"/>
    <x:mergeCell ref="B23:F23"/>
    <x:mergeCell ref="C32:F32"/>
    <x:mergeCell ref="B33:F33"/>
    <x:mergeCell ref="C42:G42"/>
    <x:mergeCell ref="B43:G43"/>
    <x:mergeCell ref="C52:G52"/>
    <x:mergeCell ref="B53:G53"/>
    <x:mergeCell ref="C62:E62"/>
    <x:mergeCell ref="B63:E63"/>
    <x:mergeCell ref="C72:E72"/>
    <x:mergeCell ref="B73:E73"/>
    <x:mergeCell ref="C82:H82"/>
    <x:mergeCell ref="B83:H83"/>
    <x:mergeCell ref="C92:H92"/>
    <x:mergeCell ref="B93:H93"/>
    <x:mergeCell ref="B102:H102"/>
    <x:mergeCell ref="B103:H103"/>
    <x:mergeCell ref="B104:H104"/>
    <x:mergeCell ref="B105:H105"/>
    <x:mergeCell ref="B106:H106"/>
    <x:mergeCell ref="B107:H107"/>
    <x:mergeCell ref="C112:F112"/>
    <x:mergeCell ref="B113:F113"/>
    <x:mergeCell ref="C122:F122"/>
    <x:mergeCell ref="B123:F123"/>
    <x:mergeCell ref="C132:F132"/>
    <x:mergeCell ref="B133:F133"/>
    <x:mergeCell ref="C142:F142"/>
    <x:mergeCell ref="B143:F143"/>
    <x:mergeCell ref="C152:K152"/>
    <x:mergeCell ref="B153:K153"/>
    <x:mergeCell ref="C162:K162"/>
    <x:mergeCell ref="B163:K163"/>
    <x:mergeCell ref="C172:K172"/>
    <x:mergeCell ref="B173:K173"/>
    <x:mergeCell ref="C182:K182"/>
    <x:mergeCell ref="B183:K183"/>
    <x:mergeCell ref="B192:I192"/>
    <x:mergeCell ref="B193:I193"/>
    <x:mergeCell ref="B194:I194"/>
  </x:mergeCells>
  <x:conditionalFormatting sqref="C6:C9">
    <x:cfRule type="expression" dxfId="0" priority="1">
      <x:formula>C6=MAX(C$6:C$9)</x:formula>
    </x:cfRule>
    <x:cfRule type="expression" dxfId="1" priority="2">
      <x:formula>C6&lt;&gt;MAX(C$6:C$9)</x:formula>
    </x:cfRule>
  </x:conditionalFormatting>
  <x:conditionalFormatting sqref="D6:D9">
    <x:cfRule type="expression" dxfId="2" priority="3">
      <x:formula>D6=MAX(D$6:D$9)</x:formula>
    </x:cfRule>
    <x:cfRule type="expression" dxfId="3" priority="4">
      <x:formula>D6&lt;&gt;MAX(D$6:D$9)</x:formula>
    </x:cfRule>
  </x:conditionalFormatting>
  <x:conditionalFormatting sqref="E6:E9">
    <x:cfRule type="expression" dxfId="4" priority="5">
      <x:formula>E6=MAX(E$6:E$9)</x:formula>
    </x:cfRule>
    <x:cfRule type="expression" dxfId="5" priority="6">
      <x:formula>E6&lt;&gt;MAX(E$6:E$9)</x:formula>
    </x:cfRule>
  </x:conditionalFormatting>
  <x:conditionalFormatting sqref="F6:F9">
    <x:cfRule type="expression" dxfId="6" priority="7">
      <x:formula>F6=MAX(F$6:F$9)</x:formula>
    </x:cfRule>
    <x:cfRule type="expression" dxfId="7" priority="8">
      <x:formula>F6&lt;&gt;MAX(F$6:F$9)</x:formula>
    </x:cfRule>
  </x:conditionalFormatting>
  <x:conditionalFormatting sqref="C16:C19">
    <x:cfRule type="expression" dxfId="8" priority="9">
      <x:formula>C16=MAX(C$16:C$19)</x:formula>
    </x:cfRule>
    <x:cfRule type="expression" dxfId="9" priority="10">
      <x:formula>C16&lt;&gt;MAX(C$16:C$19)</x:formula>
    </x:cfRule>
  </x:conditionalFormatting>
  <x:conditionalFormatting sqref="D16:D19">
    <x:cfRule type="expression" dxfId="10" priority="11">
      <x:formula>D16=MAX(D$16:D$19)</x:formula>
    </x:cfRule>
    <x:cfRule type="expression" dxfId="11" priority="12">
      <x:formula>D16&lt;&gt;MAX(D$16:D$19)</x:formula>
    </x:cfRule>
  </x:conditionalFormatting>
  <x:conditionalFormatting sqref="E16:E19">
    <x:cfRule type="expression" dxfId="12" priority="13">
      <x:formula>E16=MAX(E$16:E$19)</x:formula>
    </x:cfRule>
    <x:cfRule type="expression" dxfId="13" priority="14">
      <x:formula>E16&lt;&gt;MAX(E$16:E$19)</x:formula>
    </x:cfRule>
  </x:conditionalFormatting>
  <x:conditionalFormatting sqref="F16:F19">
    <x:cfRule type="expression" dxfId="14" priority="15">
      <x:formula>F16=MAX(F$16:F$19)</x:formula>
    </x:cfRule>
    <x:cfRule type="expression" dxfId="15" priority="16">
      <x:formula>F16&lt;&gt;MAX(F$16:F$19)</x:formula>
    </x:cfRule>
  </x:conditionalFormatting>
  <x:conditionalFormatting sqref="C46:C49">
    <x:cfRule type="expression" dxfId="16" priority="17">
      <x:formula>C46=MIN(C$46:C$49)</x:formula>
    </x:cfRule>
    <x:cfRule type="expression" dxfId="17" priority="18">
      <x:formula>C46&lt;&gt;MIN(C$46:C$49)</x:formula>
    </x:cfRule>
  </x:conditionalFormatting>
  <x:conditionalFormatting sqref="D46:D49">
    <x:cfRule type="expression" dxfId="18" priority="19">
      <x:formula>D46=MIN(D$46:D$49)</x:formula>
    </x:cfRule>
    <x:cfRule type="expression" dxfId="19" priority="20">
      <x:formula>D46&lt;&gt;MIN(D$46:D$49)</x:formula>
    </x:cfRule>
  </x:conditionalFormatting>
  <x:conditionalFormatting sqref="E46:E49">
    <x:cfRule type="expression" dxfId="20" priority="21">
      <x:formula>E46=MIN(E$46:E$49)</x:formula>
    </x:cfRule>
    <x:cfRule type="expression" dxfId="21" priority="22">
      <x:formula>E46&lt;&gt;MIN(E$46:E$49)</x:formula>
    </x:cfRule>
  </x:conditionalFormatting>
  <x:conditionalFormatting sqref="F46:F49">
    <x:cfRule type="expression" dxfId="22" priority="23">
      <x:formula>F46=MAX(F$46:F$49)</x:formula>
    </x:cfRule>
    <x:cfRule type="expression" dxfId="23" priority="24">
      <x:formula>F46&lt;&gt;MAX(F$46:F$49)</x:formula>
    </x:cfRule>
  </x:conditionalFormatting>
  <x:conditionalFormatting sqref="C56:C59">
    <x:cfRule type="expression" dxfId="24" priority="25">
      <x:formula>C56=MIN(C$56:C$59)</x:formula>
    </x:cfRule>
    <x:cfRule type="expression" dxfId="25" priority="26">
      <x:formula>C56&lt;&gt;MIN(C$56:C$59)</x:formula>
    </x:cfRule>
  </x:conditionalFormatting>
  <x:conditionalFormatting sqref="D56:D59">
    <x:cfRule type="expression" dxfId="26" priority="27">
      <x:formula>D56=MIN(D$56:D$59)</x:formula>
    </x:cfRule>
    <x:cfRule type="expression" dxfId="27" priority="28">
      <x:formula>D56&lt;&gt;MIN(D$56:D$59)</x:formula>
    </x:cfRule>
  </x:conditionalFormatting>
  <x:conditionalFormatting sqref="E56:E59">
    <x:cfRule type="expression" dxfId="28" priority="29">
      <x:formula>E56=MIN(E$56:E$59)</x:formula>
    </x:cfRule>
    <x:cfRule type="expression" dxfId="29" priority="30">
      <x:formula>E56&lt;&gt;MIN(E$56:E$59)</x:formula>
    </x:cfRule>
  </x:conditionalFormatting>
  <x:conditionalFormatting sqref="F56:F59">
    <x:cfRule type="expression" dxfId="30" priority="31">
      <x:formula>F56=MAX(F$56:F$59)</x:formula>
    </x:cfRule>
    <x:cfRule type="expression" dxfId="31" priority="32">
      <x:formula>F56&lt;&gt;MAX(F$56:F$59)</x:formula>
    </x:cfRule>
  </x:conditionalFormatting>
  <x:conditionalFormatting sqref="C66:C69">
    <x:cfRule type="expression" dxfId="32" priority="33">
      <x:formula>C66=MIN(C$66:C$69)</x:formula>
    </x:cfRule>
    <x:cfRule type="expression" dxfId="33" priority="34">
      <x:formula>C66&lt;&gt;MIN(C$66:C$69)</x:formula>
    </x:cfRule>
  </x:conditionalFormatting>
  <x:conditionalFormatting sqref="D66:D69">
    <x:cfRule type="expression" dxfId="34" priority="35">
      <x:formula>D66=MIN(D$66:D$69)</x:formula>
    </x:cfRule>
    <x:cfRule type="expression" dxfId="35" priority="36">
      <x:formula>D66&lt;&gt;MIN(D$66:D$69)</x:formula>
    </x:cfRule>
  </x:conditionalFormatting>
  <x:conditionalFormatting sqref="E66:E69">
    <x:cfRule type="expression" dxfId="36" priority="37">
      <x:formula>E66=MIN(E$66:E$69)</x:formula>
    </x:cfRule>
    <x:cfRule type="expression" dxfId="37" priority="38">
      <x:formula>E66&lt;&gt;MIN(E$66:E$69)</x:formula>
    </x:cfRule>
  </x:conditionalFormatting>
  <x:conditionalFormatting sqref="C76:C79">
    <x:cfRule type="expression" dxfId="38" priority="39">
      <x:formula>C76=MIN(C$76:C$79)</x:formula>
    </x:cfRule>
    <x:cfRule type="expression" dxfId="39" priority="40">
      <x:formula>C76&lt;&gt;MIN(C$76:C$79)</x:formula>
    </x:cfRule>
  </x:conditionalFormatting>
  <x:conditionalFormatting sqref="D76:D79">
    <x:cfRule type="expression" dxfId="40" priority="41">
      <x:formula>D76=MIN(D$76:D$79)</x:formula>
    </x:cfRule>
    <x:cfRule type="expression" dxfId="41" priority="42">
      <x:formula>D76&lt;&gt;MIN(D$76:D$79)</x:formula>
    </x:cfRule>
  </x:conditionalFormatting>
  <x:conditionalFormatting sqref="E76:E79">
    <x:cfRule type="expression" dxfId="42" priority="43">
      <x:formula>E76=MIN(E$76:E$79)</x:formula>
    </x:cfRule>
    <x:cfRule type="expression" dxfId="43" priority="44">
      <x:formula>E76&lt;&gt;MIN(E$76:E$79)</x:formula>
    </x:cfRule>
  </x:conditionalFormatting>
  <x:conditionalFormatting sqref="C116:C119">
    <x:cfRule type="expression" dxfId="176" priority="45">
      <x:formula>C116=MAX(C$116:C$119)</x:formula>
    </x:cfRule>
    <x:cfRule type="expression" dxfId="177" priority="46">
      <x:formula>C116&lt;&gt;MAX(C$116:C$119)</x:formula>
    </x:cfRule>
  </x:conditionalFormatting>
  <x:conditionalFormatting sqref="D116:D119">
    <x:cfRule type="expression" dxfId="178" priority="47">
      <x:formula>D116=MAX(D$116:D$119)</x:formula>
    </x:cfRule>
    <x:cfRule type="expression" dxfId="179" priority="48">
      <x:formula>D116&lt;&gt;MAX(D$116:D$119)</x:formula>
    </x:cfRule>
  </x:conditionalFormatting>
  <x:conditionalFormatting sqref="E116:E119">
    <x:cfRule type="expression" dxfId="180" priority="49">
      <x:formula>E116=MAX(E$116:E$119)</x:formula>
    </x:cfRule>
    <x:cfRule type="expression" dxfId="181" priority="50">
      <x:formula>E116&lt;&gt;MAX(E$116:E$119)</x:formula>
    </x:cfRule>
  </x:conditionalFormatting>
  <x:conditionalFormatting sqref="F116:F119">
    <x:cfRule type="expression" dxfId="182" priority="51">
      <x:formula>F116=MAX(F$116:F$119)</x:formula>
    </x:cfRule>
    <x:cfRule type="expression" dxfId="183" priority="52">
      <x:formula>F116&lt;&gt;MAX(F$116:F$119)</x:formula>
    </x:cfRule>
  </x:conditionalFormatting>
  <x:conditionalFormatting sqref="C126:C129">
    <x:cfRule type="expression" dxfId="184" priority="53">
      <x:formula>C126=MAX(C$126:C$129)</x:formula>
    </x:cfRule>
    <x:cfRule type="expression" dxfId="185" priority="54">
      <x:formula>C126&lt;&gt;MAX(C$126:C$129)</x:formula>
    </x:cfRule>
  </x:conditionalFormatting>
  <x:conditionalFormatting sqref="D126:D129">
    <x:cfRule type="expression" dxfId="186" priority="55">
      <x:formula>D126=MAX(D$126:D$129)</x:formula>
    </x:cfRule>
    <x:cfRule type="expression" dxfId="187" priority="56">
      <x:formula>D126&lt;&gt;MAX(D$126:D$129)</x:formula>
    </x:cfRule>
  </x:conditionalFormatting>
  <x:conditionalFormatting sqref="E126:E129">
    <x:cfRule type="expression" dxfId="188" priority="57">
      <x:formula>E126=MAX(E$126:E$129)</x:formula>
    </x:cfRule>
    <x:cfRule type="expression" dxfId="189" priority="58">
      <x:formula>E126&lt;&gt;MAX(E$126:E$129)</x:formula>
    </x:cfRule>
  </x:conditionalFormatting>
  <x:conditionalFormatting sqref="F126:F129">
    <x:cfRule type="expression" dxfId="190" priority="59">
      <x:formula>F126=MAX(F$126:F$129)</x:formula>
    </x:cfRule>
    <x:cfRule type="expression" dxfId="191" priority="60">
      <x:formula>F126&lt;&gt;MAX(F$126:F$129)</x:formula>
    </x:cfRule>
  </x:conditionalFormatting>
  <x:conditionalFormatting sqref="C136:C139">
    <x:cfRule type="expression" dxfId="192" priority="61">
      <x:formula>C136=MAX(C$136:C$139)</x:formula>
    </x:cfRule>
    <x:cfRule type="expression" dxfId="193" priority="62">
      <x:formula>C136&lt;&gt;MAX(C$136:C$139)</x:formula>
    </x:cfRule>
  </x:conditionalFormatting>
  <x:conditionalFormatting sqref="D136:D139">
    <x:cfRule type="expression" dxfId="194" priority="63">
      <x:formula>D136=MAX(D$136:D$139)</x:formula>
    </x:cfRule>
    <x:cfRule type="expression" dxfId="195" priority="64">
      <x:formula>D136&lt;&gt;MAX(D$136:D$139)</x:formula>
    </x:cfRule>
  </x:conditionalFormatting>
  <x:conditionalFormatting sqref="E136:E139">
    <x:cfRule type="expression" dxfId="196" priority="65">
      <x:formula>E136=MAX(E$136:E$139)</x:formula>
    </x:cfRule>
    <x:cfRule type="expression" dxfId="197" priority="66">
      <x:formula>E136&lt;&gt;MAX(E$136:E$139)</x:formula>
    </x:cfRule>
  </x:conditionalFormatting>
  <x:conditionalFormatting sqref="F136:F139">
    <x:cfRule type="expression" dxfId="198" priority="67">
      <x:formula>F136=MAX(F$136:F$139)</x:formula>
    </x:cfRule>
    <x:cfRule type="expression" dxfId="199" priority="68">
      <x:formula>F136&lt;&gt;MAX(F$136:F$139)</x:formula>
    </x:cfRule>
  </x:conditionalFormatting>
  <x:conditionalFormatting sqref="C156:C159">
    <x:cfRule type="expression" dxfId="200" priority="69">
      <x:formula>C156=MAX(C$156:C$159)</x:formula>
    </x:cfRule>
    <x:cfRule type="expression" dxfId="201" priority="70">
      <x:formula>C156&lt;&gt;MAX(C$156:C$159)</x:formula>
    </x:cfRule>
  </x:conditionalFormatting>
  <x:conditionalFormatting sqref="D156:D159">
    <x:cfRule type="expression" dxfId="202" priority="71">
      <x:formula>D156=MAX(D$156:D$159)</x:formula>
    </x:cfRule>
    <x:cfRule type="expression" dxfId="203" priority="72">
      <x:formula>D156&lt;&gt;MAX(D$156:D$159)</x:formula>
    </x:cfRule>
  </x:conditionalFormatting>
  <x:conditionalFormatting sqref="E156:E159">
    <x:cfRule type="expression" dxfId="204" priority="73">
      <x:formula>E156=MAX(E$156:E$159)</x:formula>
    </x:cfRule>
    <x:cfRule type="expression" dxfId="205" priority="74">
      <x:formula>E156&lt;&gt;MAX(E$156:E$159)</x:formula>
    </x:cfRule>
  </x:conditionalFormatting>
  <x:conditionalFormatting sqref="F156:F159">
    <x:cfRule type="expression" dxfId="206" priority="75">
      <x:formula>F156=MAX(F$156:F$159)</x:formula>
    </x:cfRule>
    <x:cfRule type="expression" dxfId="207" priority="76">
      <x:formula>F156&lt;&gt;MAX(F$156:F$159)</x:formula>
    </x:cfRule>
  </x:conditionalFormatting>
  <x:conditionalFormatting sqref="G156:G159">
    <x:cfRule type="expression" dxfId="208" priority="77">
      <x:formula>G156=MAX(G$156:G$159)</x:formula>
    </x:cfRule>
    <x:cfRule type="expression" dxfId="209" priority="78">
      <x:formula>G156&lt;&gt;MAX(G$156:G$159)</x:formula>
    </x:cfRule>
  </x:conditionalFormatting>
  <x:conditionalFormatting sqref="H156:H159">
    <x:cfRule type="expression" dxfId="210" priority="79">
      <x:formula>H156=MAX(H$156:H$159)</x:formula>
    </x:cfRule>
    <x:cfRule type="expression" dxfId="211" priority="80">
      <x:formula>H156&lt;&gt;MAX(H$156:H$159)</x:formula>
    </x:cfRule>
  </x:conditionalFormatting>
  <x:conditionalFormatting sqref="I156:I159">
    <x:cfRule type="expression" dxfId="212" priority="81">
      <x:formula>I156=MAX(I$156:I$159)</x:formula>
    </x:cfRule>
    <x:cfRule type="expression" dxfId="213" priority="82">
      <x:formula>I156&lt;&gt;MAX(I$156:I$159)</x:formula>
    </x:cfRule>
  </x:conditionalFormatting>
  <x:conditionalFormatting sqref="J156:J159">
    <x:cfRule type="expression" dxfId="214" priority="83">
      <x:formula>J156=MAX(J$156:J$159)</x:formula>
    </x:cfRule>
    <x:cfRule type="expression" dxfId="215" priority="84">
      <x:formula>J156&lt;&gt;MAX(J$156:J$159)</x:formula>
    </x:cfRule>
  </x:conditionalFormatting>
  <x:conditionalFormatting sqref="K156:K159">
    <x:cfRule type="expression" dxfId="216" priority="85">
      <x:formula>K156=MAX(K$156:K$159)</x:formula>
    </x:cfRule>
    <x:cfRule type="expression" dxfId="217" priority="86">
      <x:formula>K156&lt;&gt;MAX(K$156:K$159)</x:formula>
    </x:cfRule>
  </x:conditionalFormatting>
  <x:conditionalFormatting sqref="C166:C169">
    <x:cfRule type="expression" dxfId="218" priority="87">
      <x:formula>C166=MAX(C$166:C$169)</x:formula>
    </x:cfRule>
    <x:cfRule type="expression" dxfId="219" priority="88">
      <x:formula>C166&lt;&gt;MAX(C$166:C$169)</x:formula>
    </x:cfRule>
  </x:conditionalFormatting>
  <x:conditionalFormatting sqref="D166:D169">
    <x:cfRule type="expression" dxfId="220" priority="89">
      <x:formula>D166=MAX(D$166:D$169)</x:formula>
    </x:cfRule>
    <x:cfRule type="expression" dxfId="221" priority="90">
      <x:formula>D166&lt;&gt;MAX(D$166:D$169)</x:formula>
    </x:cfRule>
  </x:conditionalFormatting>
  <x:conditionalFormatting sqref="E166:E169">
    <x:cfRule type="expression" dxfId="222" priority="91">
      <x:formula>E166=MAX(E$166:E$169)</x:formula>
    </x:cfRule>
    <x:cfRule type="expression" dxfId="223" priority="92">
      <x:formula>E166&lt;&gt;MAX(E$166:E$169)</x:formula>
    </x:cfRule>
  </x:conditionalFormatting>
  <x:conditionalFormatting sqref="F166:F169">
    <x:cfRule type="expression" dxfId="224" priority="93">
      <x:formula>F166=MAX(F$166:F$169)</x:formula>
    </x:cfRule>
    <x:cfRule type="expression" dxfId="225" priority="94">
      <x:formula>F166&lt;&gt;MAX(F$166:F$169)</x:formula>
    </x:cfRule>
  </x:conditionalFormatting>
  <x:conditionalFormatting sqref="G166:G169">
    <x:cfRule type="expression" dxfId="226" priority="95">
      <x:formula>G166=MAX(G$166:G$169)</x:formula>
    </x:cfRule>
    <x:cfRule type="expression" dxfId="227" priority="96">
      <x:formula>G166&lt;&gt;MAX(G$166:G$169)</x:formula>
    </x:cfRule>
  </x:conditionalFormatting>
  <x:conditionalFormatting sqref="H166:H169">
    <x:cfRule type="expression" dxfId="228" priority="97">
      <x:formula>H166=MAX(H$166:H$169)</x:formula>
    </x:cfRule>
    <x:cfRule type="expression" dxfId="229" priority="98">
      <x:formula>H166&lt;&gt;MAX(H$166:H$169)</x:formula>
    </x:cfRule>
  </x:conditionalFormatting>
  <x:conditionalFormatting sqref="I166:I169">
    <x:cfRule type="expression" dxfId="230" priority="99">
      <x:formula>I166=MAX(I$166:I$169)</x:formula>
    </x:cfRule>
    <x:cfRule type="expression" dxfId="231" priority="100">
      <x:formula>I166&lt;&gt;MAX(I$166:I$169)</x:formula>
    </x:cfRule>
  </x:conditionalFormatting>
  <x:conditionalFormatting sqref="J166:J169">
    <x:cfRule type="expression" dxfId="232" priority="101">
      <x:formula>J166=MAX(J$166:J$169)</x:formula>
    </x:cfRule>
    <x:cfRule type="expression" dxfId="233" priority="102">
      <x:formula>J166&lt;&gt;MAX(J$166:J$169)</x:formula>
    </x:cfRule>
  </x:conditionalFormatting>
  <x:conditionalFormatting sqref="K166:K169">
    <x:cfRule type="expression" dxfId="234" priority="103">
      <x:formula>K166=MAX(K$166:K$169)</x:formula>
    </x:cfRule>
    <x:cfRule type="expression" dxfId="235" priority="104">
      <x:formula>K166&lt;&gt;MAX(K$166:K$169)</x:formula>
    </x:cfRule>
  </x:conditionalFormatting>
  <x:conditionalFormatting sqref="C176:C179">
    <x:cfRule type="expression" dxfId="236" priority="105">
      <x:formula>C176=MAX(C$176:C$179)</x:formula>
    </x:cfRule>
    <x:cfRule type="expression" dxfId="237" priority="106">
      <x:formula>C176&lt;&gt;MAX(C$176:C$179)</x:formula>
    </x:cfRule>
  </x:conditionalFormatting>
  <x:conditionalFormatting sqref="D176:D179">
    <x:cfRule type="expression" dxfId="238" priority="107">
      <x:formula>D176=MAX(D$176:D$179)</x:formula>
    </x:cfRule>
    <x:cfRule type="expression" dxfId="239" priority="108">
      <x:formula>D176&lt;&gt;MAX(D$176:D$179)</x:formula>
    </x:cfRule>
  </x:conditionalFormatting>
  <x:conditionalFormatting sqref="E176:E179">
    <x:cfRule type="expression" dxfId="240" priority="109">
      <x:formula>E176=MAX(E$176:E$179)</x:formula>
    </x:cfRule>
    <x:cfRule type="expression" dxfId="241" priority="110">
      <x:formula>E176&lt;&gt;MAX(E$176:E$179)</x:formula>
    </x:cfRule>
  </x:conditionalFormatting>
  <x:conditionalFormatting sqref="F176:F179">
    <x:cfRule type="expression" dxfId="242" priority="111">
      <x:formula>F176=MAX(F$176:F$179)</x:formula>
    </x:cfRule>
    <x:cfRule type="expression" dxfId="243" priority="112">
      <x:formula>F176&lt;&gt;MAX(F$176:F$179)</x:formula>
    </x:cfRule>
  </x:conditionalFormatting>
  <x:conditionalFormatting sqref="G176:G179">
    <x:cfRule type="expression" dxfId="244" priority="113">
      <x:formula>G176=MAX(G$176:G$179)</x:formula>
    </x:cfRule>
    <x:cfRule type="expression" dxfId="245" priority="114">
      <x:formula>G176&lt;&gt;MAX(G$176:G$179)</x:formula>
    </x:cfRule>
  </x:conditionalFormatting>
  <x:conditionalFormatting sqref="H176:H179">
    <x:cfRule type="expression" dxfId="246" priority="115">
      <x:formula>H176=MAX(H$176:H$179)</x:formula>
    </x:cfRule>
    <x:cfRule type="expression" dxfId="247" priority="116">
      <x:formula>H176&lt;&gt;MAX(H$176:H$179)</x:formula>
    </x:cfRule>
  </x:conditionalFormatting>
  <x:conditionalFormatting sqref="I176:I179">
    <x:cfRule type="expression" dxfId="248" priority="117">
      <x:formula>I176=MAX(I$176:I$179)</x:formula>
    </x:cfRule>
    <x:cfRule type="expression" dxfId="249" priority="118">
      <x:formula>I176&lt;&gt;MAX(I$176:I$179)</x:formula>
    </x:cfRule>
  </x:conditionalFormatting>
  <x:conditionalFormatting sqref="J176:J179">
    <x:cfRule type="expression" dxfId="250" priority="119">
      <x:formula>J176=MAX(J$176:J$179)</x:formula>
    </x:cfRule>
    <x:cfRule type="expression" dxfId="251" priority="120">
      <x:formula>J176&lt;&gt;MAX(J$176:J$179)</x:formula>
    </x:cfRule>
  </x:conditionalFormatting>
  <x:conditionalFormatting sqref="K176:K179">
    <x:cfRule type="expression" dxfId="252" priority="121">
      <x:formula>K176=MAX(K$176:K$179)</x:formula>
    </x:cfRule>
    <x:cfRule type="expression" dxfId="253" priority="122">
      <x:formula>K176&lt;&gt;MAX(K$176:K$179)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B6B6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.5" hidden="0" customWidth="1"/>
    <x:col min="2" max="2" width="31.25" hidden="0" customWidth="1"/>
    <x:col min="3" max="3" width="18.5" hidden="0" customWidth="1"/>
    <x:col min="4" max="4" width="18.5" hidden="0" customWidth="1"/>
    <x:col min="5" max="5" width="18.5" hidden="0" customWidth="1"/>
    <x:col min="6" max="6" width="18.5" hidden="0" customWidth="1"/>
    <x:col min="7" max="7" width="18.5" hidden="0" customWidth="1"/>
    <x:col min="8" max="8" width="18.5" hidden="0" customWidth="1"/>
    <x:col min="9" max="9" width="18.5" hidden="0" customWidth="1"/>
    <x:col min="10" max="10" width="18.5" hidden="0" customWidth="1"/>
    <x:col min="11" max="11" width="18.5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9" customHeight="1">
      <x:c r="A2" s="3"/>
      <x:c r="B2" s="4" t="str">
        <x:v>TABLE 1.</x:v>
      </x:c>
      <x:c r="C2" s="5" t="str">
        <x:v>Sentiment classification performance.</x:v>
      </x:c>
      <x:c r="D2" s="5"/>
      <x:c r="E2" s="5"/>
      <x:c r="F2" s="5"/>
      <x:c r="G2" s="3"/>
      <x:c r="H2" s="3"/>
      <x:c r="I2" s="3"/>
      <x:c r="J2" s="3"/>
    </x:row>
    <x:row r="3" ht="21" customHeight="1">
      <x:c r="A3" s="3"/>
      <x:c r="B3" s="6" t="str">
        <x:v>Indonesian: sentiment, n = 12,760</x:v>
      </x:c>
      <x:c r="C3" s="6"/>
      <x:c r="D3" s="6"/>
      <x:c r="E3" s="6"/>
      <x:c r="F3" s="6"/>
      <x:c r="G3" s="3"/>
      <x:c r="H3" s="3"/>
      <x:c r="I3" s="3"/>
      <x:c r="J3" s="3"/>
    </x:row>
    <x:row r="4" ht="9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42" customHeight="1">
      <x:c r="A5" s="3"/>
      <x:c r="B5" s="11" t="str">
        <x:v>Model</x:v>
      </x:c>
      <x:c r="C5" s="10" t="str">
        <x:v>Accuracy</x:v>
      </x:c>
      <x:c r="D5" s="10" t="str">
        <x:v>Balanced
Accuracy</x:v>
      </x:c>
      <x:c r="E5" s="10" t="str">
        <x:v>Macro-F1</x:v>
      </x:c>
      <x:c r="F5" s="10" t="str">
        <x:v>Weighted-F1</x:v>
      </x:c>
      <x:c r="G5" s="3"/>
      <x:c r="H5" s="3"/>
      <x:c r="I5" s="3"/>
      <x:c r="J5" s="3"/>
    </x:row>
    <x:row r="6" ht="24" customHeight="1">
      <x:c r="A6" s="3"/>
      <x:c r="B6" s="12" t="str">
        <x:v>nimble:9b</x:v>
      </x:c>
      <x:c r="C6" s="18" t="n">
        <x:v>0.8871473354231975</x:v>
      </x:c>
      <x:c r="D6" s="18" t="n">
        <x:v>0.8076030899326468</x:v>
      </x:c>
      <x:c r="E6" s="18" t="n">
        <x:v>0.8157296719161945</x:v>
      </x:c>
      <x:c r="F6" s="18" t="n">
        <x:v>0.885061270975692</x:v>
      </x:c>
      <x:c r="G6" s="3"/>
      <x:c r="H6" s="3"/>
      <x:c r="I6" s="3"/>
      <x:c r="J6" s="3"/>
    </x:row>
    <x:row r="7" ht="24" customHeight="1">
      <x:c r="A7" s="3"/>
      <x:c r="B7" s="12" t="str">
        <x:v>tev1:0.8b</x:v>
      </x:c>
      <x:c r="C7" s="18" t="n">
        <x:v>0.7920846394984326</x:v>
      </x:c>
      <x:c r="D7" s="18" t="n">
        <x:v>0.7106581439889835</x:v>
      </x:c>
      <x:c r="E7" s="18" t="n">
        <x:v>0.6934219752577757</x:v>
      </x:c>
      <x:c r="F7" s="18" t="n">
        <x:v>0.8050267727385058</x:v>
      </x:c>
      <x:c r="G7" s="3"/>
      <x:c r="H7" s="3"/>
      <x:c r="I7" s="3"/>
      <x:c r="J7" s="3"/>
    </x:row>
    <x:row r="8" ht="24" customHeight="1">
      <x:c r="A8" s="3"/>
      <x:c r="B8" s="12" t="str">
        <x:v>tev1:4b</x:v>
      </x:c>
      <x:c r="C8" s="18" t="n">
        <x:v>0.8666927899686521</x:v>
      </x:c>
      <x:c r="D8" s="19" t="n">
        <x:v>0.8264415714783092</x:v>
      </x:c>
      <x:c r="E8" s="18" t="n">
        <x:v>0.7976595937852392</x:v>
      </x:c>
      <x:c r="F8" s="18" t="n">
        <x:v>0.8749217818122281</x:v>
      </x:c>
      <x:c r="G8" s="3"/>
      <x:c r="H8" s="3"/>
      <x:c r="I8" s="3"/>
      <x:c r="J8" s="3"/>
    </x:row>
    <x:row r="9" ht="24" customHeight="1">
      <x:c r="A9" s="3"/>
      <x:c r="B9" s="14" t="str">
        <x:v>typesafe/jev-1.13</x:v>
      </x:c>
      <x:c r="C9" s="21" t="n">
        <x:v>0.8882445141065831</x:v>
      </x:c>
      <x:c r="D9" s="20" t="n">
        <x:v>0.8191507573590764</x:v>
      </x:c>
      <x:c r="E9" s="21" t="n">
        <x:v>0.8191923068187693</x:v>
      </x:c>
      <x:c r="F9" s="21" t="n">
        <x:v>0.8871617844400538</x:v>
      </x:c>
      <x:c r="G9" s="3"/>
      <x:c r="H9" s="3"/>
      <x:c r="I9" s="3"/>
      <x:c r="J9" s="3"/>
    </x:row>
    <x:row r="10" ht="24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</x:row>
    <x:row r="11" ht="24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</x:row>
    <x:row r="12" ht="29" customHeight="1">
      <x:c r="A12" s="3"/>
      <x:c r="B12" s="4" t="str">
        <x:v>TABLE 2.</x:v>
      </x:c>
      <x:c r="C12" s="5" t="str">
        <x:v>Emotion classification performance.</x:v>
      </x:c>
      <x:c r="D12" s="5"/>
      <x:c r="E12" s="5"/>
      <x:c r="F12" s="5"/>
      <x:c r="G12" s="3"/>
      <x:c r="H12" s="3"/>
      <x:c r="I12" s="3"/>
      <x:c r="J12" s="3"/>
    </x:row>
    <x:row r="13" ht="21" customHeight="1">
      <x:c r="A13" s="3"/>
      <x:c r="B13" s="6" t="str">
        <x:v>Indonesian: emotion, n = 4,403</x:v>
      </x:c>
      <x:c r="C13" s="6"/>
      <x:c r="D13" s="6"/>
      <x:c r="E13" s="6"/>
      <x:c r="F13" s="6"/>
      <x:c r="G13" s="3"/>
      <x:c r="H13" s="3"/>
      <x:c r="I13" s="3"/>
      <x:c r="J13" s="3"/>
    </x:row>
    <x:row r="14" ht="9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</x:row>
    <x:row r="15" ht="42" customHeight="1">
      <x:c r="A15" s="3"/>
      <x:c r="B15" s="11" t="str">
        <x:v>Model</x:v>
      </x:c>
      <x:c r="C15" s="10" t="str">
        <x:v>Accuracy</x:v>
      </x:c>
      <x:c r="D15" s="10" t="str">
        <x:v>Balanced
Accuracy</x:v>
      </x:c>
      <x:c r="E15" s="10" t="str">
        <x:v>Macro-F1</x:v>
      </x:c>
      <x:c r="F15" s="10" t="str">
        <x:v>Weighted-F1</x:v>
      </x:c>
      <x:c r="G15" s="3"/>
      <x:c r="H15" s="3"/>
      <x:c r="I15" s="3"/>
      <x:c r="J15" s="3"/>
    </x:row>
    <x:row r="16" ht="24" customHeight="1">
      <x:c r="A16" s="3"/>
      <x:c r="B16" s="12" t="str">
        <x:v>nimble:9b</x:v>
      </x:c>
      <x:c r="C16" s="18" t="n">
        <x:v>0.7354076765841472</x:v>
      </x:c>
      <x:c r="D16" s="18" t="n">
        <x:v>0.7456868072756077</x:v>
      </x:c>
      <x:c r="E16" s="18" t="n">
        <x:v>0.7293039817580553</x:v>
      </x:c>
      <x:c r="F16" s="18" t="n">
        <x:v>0.7229239937737777</x:v>
      </x:c>
      <x:c r="G16" s="3"/>
      <x:c r="H16" s="3"/>
      <x:c r="I16" s="3"/>
      <x:c r="J16" s="3"/>
    </x:row>
    <x:row r="17" ht="24" customHeight="1">
      <x:c r="A17" s="3"/>
      <x:c r="B17" s="12" t="str">
        <x:v>tev1:0.8b</x:v>
      </x:c>
      <x:c r="C17" s="18" t="n">
        <x:v>0.61003861003861</x:v>
      </x:c>
      <x:c r="D17" s="18" t="n">
        <x:v>0.6098380083964551</x:v>
      </x:c>
      <x:c r="E17" s="18" t="n">
        <x:v>0.5991586996648655</x:v>
      </x:c>
      <x:c r="F17" s="18" t="n">
        <x:v>0.5895795574577072</x:v>
      </x:c>
      <x:c r="G17" s="3"/>
      <x:c r="H17" s="3"/>
      <x:c r="I17" s="3"/>
      <x:c r="J17" s="3"/>
    </x:row>
    <x:row r="18" ht="24" customHeight="1">
      <x:c r="A18" s="3"/>
      <x:c r="B18" s="12" t="str">
        <x:v>tev1:4b</x:v>
      </x:c>
      <x:c r="C18" s="18" t="n">
        <x:v>0.7369975017033841</x:v>
      </x:c>
      <x:c r="D18" s="18" t="n">
        <x:v>0.7414606934574517</x:v>
      </x:c>
      <x:c r="E18" s="18" t="n">
        <x:v>0.7342024579517497</x:v>
      </x:c>
      <x:c r="F18" s="18" t="n">
        <x:v>0.7272454736731437</x:v>
      </x:c>
      <x:c r="G18" s="3"/>
      <x:c r="H18" s="3"/>
      <x:c r="I18" s="3"/>
      <x:c r="J18" s="3"/>
    </x:row>
    <x:row r="19" ht="24" customHeight="1">
      <x:c r="A19" s="3"/>
      <x:c r="B19" s="14" t="str">
        <x:v>typesafe/jev-1.13</x:v>
      </x:c>
      <x:c r="C19" s="21" t="n">
        <x:v>0.7790143084260731</x:v>
      </x:c>
      <x:c r="D19" s="21" t="n">
        <x:v>0.7901531821063534</x:v>
      </x:c>
      <x:c r="E19" s="21" t="n">
        <x:v>0.7763329270486458</x:v>
      </x:c>
      <x:c r="F19" s="21" t="n">
        <x:v>0.7732888489158438</x:v>
      </x:c>
      <x:c r="G19" s="3"/>
      <x:c r="H19" s="3"/>
      <x:c r="I19" s="3"/>
      <x:c r="J19" s="3"/>
    </x:row>
    <x:row r="20" ht="24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</x:row>
    <x:row r="21" ht="24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</x:row>
    <x:row r="22" ht="29" customHeight="1">
      <x:c r="A22" s="3"/>
      <x:c r="B22" s="4" t="str">
        <x:v>TABLE 3.</x:v>
      </x:c>
      <x:c r="C22" s="5" t="str">
        <x:v>Sentiment confidence intervals.</x:v>
      </x:c>
      <x:c r="D22" s="5"/>
      <x:c r="E22" s="5"/>
      <x:c r="F22" s="5"/>
      <x:c r="G22" s="3"/>
      <x:c r="H22" s="3"/>
      <x:c r="I22" s="3"/>
      <x:c r="J22" s="3"/>
    </x:row>
    <x:row r="23" ht="21" customHeight="1">
      <x:c r="A23" s="3"/>
      <x:c r="B23" s="6" t="str">
        <x:v>Indonesian: sentiment, n = 12,760</x:v>
      </x:c>
      <x:c r="C23" s="6"/>
      <x:c r="D23" s="6"/>
      <x:c r="E23" s="6"/>
      <x:c r="F23" s="6"/>
      <x:c r="G23" s="3"/>
      <x:c r="H23" s="3"/>
      <x:c r="I23" s="3"/>
      <x:c r="J23" s="3"/>
    </x:row>
    <x:row r="24" ht="9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</x:row>
    <x:row r="25" ht="42" customHeight="1">
      <x:c r="A25" s="3"/>
      <x:c r="B25" s="11" t="str">
        <x:v>Model</x:v>
      </x:c>
      <x:c r="C25" s="10" t="str">
        <x:v>Accuracy
Lower</x:v>
      </x:c>
      <x:c r="D25" s="10" t="str">
        <x:v>Accuracy
Upper</x:v>
      </x:c>
      <x:c r="E25" s="10" t="str">
        <x:v>Macro-F1
Lower</x:v>
      </x:c>
      <x:c r="F25" s="10" t="str">
        <x:v>Macro-F1
Upper</x:v>
      </x:c>
      <x:c r="G25" s="3"/>
      <x:c r="H25" s="3"/>
      <x:c r="I25" s="3"/>
      <x:c r="J25" s="3"/>
    </x:row>
    <x:row r="26" ht="24" customHeight="1">
      <x:c r="A26" s="3"/>
      <x:c r="B26" s="12" t="str">
        <x:v>nimble:9b</x:v>
      </x:c>
      <x:c r="C26" s="16" t="n">
        <x:v>0.8822100313479624</x:v>
      </x:c>
      <x:c r="D26" s="16" t="n">
        <x:v>0.8925215517241379</x:v>
      </x:c>
      <x:c r="E26" s="16" t="n">
        <x:v>0.8076867150111436</x:v>
      </x:c>
      <x:c r="F26" s="16" t="n">
        <x:v>0.8244974067753217</x:v>
      </x:c>
      <x:c r="G26" s="3"/>
      <x:c r="H26" s="3"/>
      <x:c r="I26" s="3"/>
      <x:c r="J26" s="3"/>
    </x:row>
    <x:row r="27" ht="24" customHeight="1">
      <x:c r="A27" s="3"/>
      <x:c r="B27" s="12" t="str">
        <x:v>tev1:0.8b</x:v>
      </x:c>
      <x:c r="C27" s="16" t="n">
        <x:v>0.7849118338557993</x:v>
      </x:c>
      <x:c r="D27" s="16" t="n">
        <x:v>0.7985148902821316</x:v>
      </x:c>
      <x:c r="E27" s="16" t="n">
        <x:v>0.6845606552080068</x:v>
      </x:c>
      <x:c r="F27" s="16" t="n">
        <x:v>0.7018003724273049</x:v>
      </x:c>
      <x:c r="G27" s="3"/>
      <x:c r="H27" s="3"/>
      <x:c r="I27" s="3"/>
      <x:c r="J27" s="3"/>
    </x:row>
    <x:row r="28" ht="24" customHeight="1">
      <x:c r="A28" s="3"/>
      <x:c r="B28" s="12" t="str">
        <x:v>tev1:4b</x:v>
      </x:c>
      <x:c r="C28" s="16" t="n">
        <x:v>0.8606916144200627</x:v>
      </x:c>
      <x:c r="D28" s="16" t="n">
        <x:v>0.8723765673981191</x:v>
      </x:c>
      <x:c r="E28" s="16" t="n">
        <x:v>0.7896807629999933</x:v>
      </x:c>
      <x:c r="F28" s="16" t="n">
        <x:v>0.8050750403686845</x:v>
      </x:c>
      <x:c r="G28" s="3"/>
      <x:c r="H28" s="3"/>
      <x:c r="I28" s="3"/>
      <x:c r="J28" s="3"/>
    </x:row>
    <x:row r="29" ht="24" customHeight="1">
      <x:c r="A29" s="3"/>
      <x:c r="B29" s="14" t="str">
        <x:v>typesafe/jev-1.13</x:v>
      </x:c>
      <x:c r="C29" s="17" t="n">
        <x:v>0.8825979623824451</x:v>
      </x:c>
      <x:c r="D29" s="17" t="n">
        <x:v>0.8933836206896552</x:v>
      </x:c>
      <x:c r="E29" s="17" t="n">
        <x:v>0.8106486340073024</x:v>
      </x:c>
      <x:c r="F29" s="17" t="n">
        <x:v>0.8276170801456971</x:v>
      </x:c>
      <x:c r="G29" s="3"/>
      <x:c r="H29" s="3"/>
      <x:c r="I29" s="3"/>
      <x:c r="J29" s="3"/>
    </x:row>
    <x:row r="30" ht="24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</x:row>
    <x:row r="31" ht="24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</x:row>
    <x:row r="32" ht="29" customHeight="1">
      <x:c r="A32" s="3"/>
      <x:c r="B32" s="4" t="str">
        <x:v>TABLE 4.</x:v>
      </x:c>
      <x:c r="C32" s="5" t="str">
        <x:v>Emotion confidence intervals.</x:v>
      </x:c>
      <x:c r="D32" s="5"/>
      <x:c r="E32" s="5"/>
      <x:c r="F32" s="5"/>
      <x:c r="G32" s="3"/>
      <x:c r="H32" s="3"/>
      <x:c r="I32" s="3"/>
      <x:c r="J32" s="3"/>
    </x:row>
    <x:row r="33" ht="21" customHeight="1">
      <x:c r="A33" s="3"/>
      <x:c r="B33" s="6" t="str">
        <x:v>Indonesian: emotion, n = 4,403</x:v>
      </x:c>
      <x:c r="C33" s="6"/>
      <x:c r="D33" s="6"/>
      <x:c r="E33" s="6"/>
      <x:c r="F33" s="6"/>
      <x:c r="G33" s="3"/>
      <x:c r="H33" s="3"/>
      <x:c r="I33" s="3"/>
      <x:c r="J33" s="3"/>
    </x:row>
    <x:row r="34" ht="9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</x:row>
    <x:row r="35" ht="42" customHeight="1">
      <x:c r="A35" s="3"/>
      <x:c r="B35" s="11" t="str">
        <x:v>Model</x:v>
      </x:c>
      <x:c r="C35" s="10" t="str">
        <x:v>Accuracy
Lower</x:v>
      </x:c>
      <x:c r="D35" s="10" t="str">
        <x:v>Accuracy
Upper</x:v>
      </x:c>
      <x:c r="E35" s="10" t="str">
        <x:v>Macro-F1
Lower</x:v>
      </x:c>
      <x:c r="F35" s="10" t="str">
        <x:v>Macro-F1
Upper</x:v>
      </x:c>
      <x:c r="G35" s="3"/>
      <x:c r="H35" s="3"/>
      <x:c r="I35" s="3"/>
      <x:c r="J35" s="3"/>
    </x:row>
    <x:row r="36" ht="24" customHeight="1">
      <x:c r="A36" s="3"/>
      <x:c r="B36" s="12" t="str">
        <x:v>nimble:9b</x:v>
      </x:c>
      <x:c r="C36" s="16" t="n">
        <x:v>0.7232511923688394</x:v>
      </x:c>
      <x:c r="D36" s="16" t="n">
        <x:v>0.7471099250511015</x:v>
      </x:c>
      <x:c r="E36" s="16" t="n">
        <x:v>0.7165774440518634</x:v>
      </x:c>
      <x:c r="F36" s="16" t="n">
        <x:v>0.7417999296857424</x:v>
      </x:c>
      <x:c r="G36" s="3"/>
      <x:c r="H36" s="3"/>
      <x:c r="I36" s="3"/>
      <x:c r="J36" s="3"/>
    </x:row>
    <x:row r="37" ht="24" customHeight="1">
      <x:c r="A37" s="3"/>
      <x:c r="B37" s="12" t="str">
        <x:v>tev1:0.8b</x:v>
      </x:c>
      <x:c r="C37" s="16" t="n">
        <x:v>0.5977742448330684</x:v>
      </x:c>
      <x:c r="D37" s="16" t="n">
        <x:v>0.6232114467408585</x:v>
      </x:c>
      <x:c r="E37" s="16" t="n">
        <x:v>0.5849601611679426</x:v>
      </x:c>
      <x:c r="F37" s="16" t="n">
        <x:v>0.6143155109060797</x:v>
      </x:c>
      <x:c r="G37" s="3"/>
      <x:c r="H37" s="3"/>
      <x:c r="I37" s="3"/>
      <x:c r="J37" s="3"/>
    </x:row>
    <x:row r="38" ht="24" customHeight="1">
      <x:c r="A38" s="3"/>
      <x:c r="B38" s="12" t="str">
        <x:v>tev1:4b</x:v>
      </x:c>
      <x:c r="C38" s="16" t="n">
        <x:v>0.7252952532364297</x:v>
      </x:c>
      <x:c r="D38" s="16" t="n">
        <x:v>0.7497161026572792</x:v>
      </x:c>
      <x:c r="E38" s="16" t="n">
        <x:v>0.7224211248045866</x:v>
      </x:c>
      <x:c r="F38" s="16" t="n">
        <x:v>0.7478181892313951</x:v>
      </x:c>
      <x:c r="G38" s="3"/>
      <x:c r="H38" s="3"/>
      <x:c r="I38" s="3"/>
      <x:c r="J38" s="3"/>
    </x:row>
    <x:row r="39" ht="24" customHeight="1">
      <x:c r="A39" s="3"/>
      <x:c r="B39" s="14" t="str">
        <x:v>typesafe/jev-1.13</x:v>
      </x:c>
      <x:c r="C39" s="17" t="n">
        <x:v>0.7673120599591188</x:v>
      </x:c>
      <x:c r="D39" s="17" t="n">
        <x:v>0.7901544401544401</x:v>
      </x:c>
      <x:c r="E39" s="17" t="n">
        <x:v>0.7643556028384587</x:v>
      </x:c>
      <x:c r="F39" s="17" t="n">
        <x:v>0.7878237936090723</x:v>
      </x:c>
      <x:c r="G39" s="3"/>
      <x:c r="H39" s="3"/>
      <x:c r="I39" s="3"/>
      <x:c r="J39" s="3"/>
    </x:row>
    <x:row r="40" ht="24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</x:row>
    <x:row r="41" ht="24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</x:row>
    <x:row r="42" ht="29" customHeight="1">
      <x:c r="A42" s="3"/>
      <x:c r="B42" s="4" t="str">
        <x:v>TABLE 5.</x:v>
      </x:c>
      <x:c r="C42" s="5" t="str">
        <x:v>Sentiment probability and calibration.</x:v>
      </x:c>
      <x:c r="D42" s="5"/>
      <x:c r="E42" s="5"/>
      <x:c r="F42" s="5"/>
      <x:c r="G42" s="5"/>
      <x:c r="H42" s="3"/>
      <x:c r="I42" s="3"/>
      <x:c r="J42" s="3"/>
    </x:row>
    <x:row r="43" ht="21" customHeight="1">
      <x:c r="A43" s="3"/>
      <x:c r="B43" s="6" t="str">
        <x:v>Indonesian: sentiment, n = 12,760</x:v>
      </x:c>
      <x:c r="C43" s="6"/>
      <x:c r="D43" s="6"/>
      <x:c r="E43" s="6"/>
      <x:c r="F43" s="6"/>
      <x:c r="G43" s="6"/>
      <x:c r="H43" s="3"/>
      <x:c r="I43" s="3"/>
      <x:c r="J43" s="3"/>
    </x:row>
    <x:row r="44" ht="9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</x:row>
    <x:row r="45" ht="42" customHeight="1">
      <x:c r="A45" s="3"/>
      <x:c r="B45" s="11" t="str">
        <x:v>Model</x:v>
      </x:c>
      <x:c r="C45" s="10" t="str">
        <x:v>Log Loss</x:v>
      </x:c>
      <x:c r="D45" s="10" t="str">
        <x:v>Multiclass
Brier</x:v>
      </x:c>
      <x:c r="E45" s="10" t="str">
        <x:v>ECE</x:v>
      </x:c>
      <x:c r="F45" s="10" t="str">
        <x:v>Probability
Coverage</x:v>
      </x:c>
      <x:c r="G45" s="10" t="str">
        <x:v>Max. Probability
Sum Error</x:v>
      </x:c>
      <x:c r="H45" s="3"/>
      <x:c r="I45" s="3"/>
      <x:c r="J45" s="3"/>
    </x:row>
    <x:row r="46" ht="24" customHeight="1">
      <x:c r="A46" s="3"/>
      <x:c r="B46" s="12" t="str">
        <x:v>nimble:9b</x:v>
      </x:c>
      <x:c r="C46" s="19" t="n">
        <x:v>0.3416456214555594</x:v>
      </x:c>
      <x:c r="D46" s="19" t="n">
        <x:v>0.1719172610928429</x:v>
      </x:c>
      <x:c r="E46" s="18" t="n">
        <x:v>0.0406686671417556</x:v>
      </x:c>
      <x:c r="F46" s="19" t="n">
        <x:v>1</x:v>
      </x:c>
      <x:c r="G46" s="22" t="n">
        <x:v>3.3306690738754696e-16</x:v>
      </x:c>
      <x:c r="H46" s="3"/>
      <x:c r="I46" s="3"/>
      <x:c r="J46" s="3"/>
    </x:row>
    <x:row r="47" ht="24" customHeight="1">
      <x:c r="A47" s="3"/>
      <x:c r="B47" s="12" t="str">
        <x:v>tev1:0.8b</x:v>
      </x:c>
      <x:c r="C47" s="18" t="n">
        <x:v>0.5190346811186619</x:v>
      </x:c>
      <x:c r="D47" s="18" t="n">
        <x:v>0.2822794339585787</x:v>
      </x:c>
      <x:c r="E47" s="18" t="n">
        <x:v>0.031554809039998</x:v>
      </x:c>
      <x:c r="F47" s="19" t="n">
        <x:v>1</x:v>
      </x:c>
      <x:c r="G47" s="22" t="n">
        <x:v>3.3306690738754696e-16</x:v>
      </x:c>
      <x:c r="H47" s="3"/>
      <x:c r="I47" s="3"/>
      <x:c r="J47" s="3"/>
    </x:row>
    <x:row r="48" ht="24" customHeight="1">
      <x:c r="A48" s="3"/>
      <x:c r="B48" s="12" t="str">
        <x:v>tev1:4b</x:v>
      </x:c>
      <x:c r="C48" s="18" t="n">
        <x:v>0.3814993821634976</x:v>
      </x:c>
      <x:c r="D48" s="18" t="n">
        <x:v>0.1946245528866463</x:v>
      </x:c>
      <x:c r="E48" s="19" t="n">
        <x:v>0.0294906862749584</x:v>
      </x:c>
      <x:c r="F48" s="19" t="n">
        <x:v>1</x:v>
      </x:c>
      <x:c r="G48" s="22" t="n">
        <x:v>3.3306690738754696e-16</x:v>
      </x:c>
      <x:c r="H48" s="3"/>
      <x:c r="I48" s="3"/>
      <x:c r="J48" s="3"/>
    </x:row>
    <x:row r="49" ht="24" customHeight="1">
      <x:c r="A49" s="3"/>
      <x:c r="B49" s="14" t="str">
        <x:v>typesafe/jev-1.13</x:v>
      </x:c>
      <x:c r="C49" s="20" t="n">
        <x:v>1.0846867415806558</x:v>
      </x:c>
      <x:c r="D49" s="20" t="n">
        <x:v>0.1745440697657682</x:v>
      </x:c>
      <x:c r="E49" s="20" t="n">
        <x:v>0.0527478943035369</x:v>
      </x:c>
      <x:c r="F49" s="21" t="n">
        <x:v>1</x:v>
      </x:c>
      <x:c r="G49" s="23" t="n">
        <x:v>0.01</x:v>
      </x:c>
      <x:c r="H49" s="3"/>
      <x:c r="I49" s="3"/>
      <x:c r="J49" s="3"/>
    </x:row>
    <x:row r="50" ht="24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</x:row>
    <x:row r="51" ht="24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</x:row>
    <x:row r="52" ht="29" customHeight="1">
      <x:c r="A52" s="3"/>
      <x:c r="B52" s="4" t="str">
        <x:v>TABLE 6.</x:v>
      </x:c>
      <x:c r="C52" s="5" t="str">
        <x:v>Emotion probability and calibration.</x:v>
      </x:c>
      <x:c r="D52" s="5"/>
      <x:c r="E52" s="5"/>
      <x:c r="F52" s="5"/>
      <x:c r="G52" s="5"/>
      <x:c r="H52" s="3"/>
      <x:c r="I52" s="3"/>
      <x:c r="J52" s="3"/>
    </x:row>
    <x:row r="53" ht="21" customHeight="1">
      <x:c r="A53" s="3"/>
      <x:c r="B53" s="6" t="str">
        <x:v>Indonesian: emotion, n = 4,403</x:v>
      </x:c>
      <x:c r="C53" s="6"/>
      <x:c r="D53" s="6"/>
      <x:c r="E53" s="6"/>
      <x:c r="F53" s="6"/>
      <x:c r="G53" s="6"/>
      <x:c r="H53" s="3"/>
      <x:c r="I53" s="3"/>
      <x:c r="J53" s="3"/>
    </x:row>
    <x:row r="54" ht="9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</x:row>
    <x:row r="55" ht="42" customHeight="1">
      <x:c r="A55" s="3"/>
      <x:c r="B55" s="11" t="str">
        <x:v>Model</x:v>
      </x:c>
      <x:c r="C55" s="10" t="str">
        <x:v>Log Loss</x:v>
      </x:c>
      <x:c r="D55" s="10" t="str">
        <x:v>Multiclass
Brier</x:v>
      </x:c>
      <x:c r="E55" s="10" t="str">
        <x:v>ECE</x:v>
      </x:c>
      <x:c r="F55" s="10" t="str">
        <x:v>Probability
Coverage</x:v>
      </x:c>
      <x:c r="G55" s="10" t="str">
        <x:v>Max. Probability
Sum Error</x:v>
      </x:c>
      <x:c r="H55" s="3"/>
      <x:c r="I55" s="3"/>
      <x:c r="J55" s="3"/>
    </x:row>
    <x:row r="56" ht="24" customHeight="1">
      <x:c r="A56" s="3"/>
      <x:c r="B56" s="12" t="str">
        <x:v>nimble:9b</x:v>
      </x:c>
      <x:c r="C56" s="18" t="n">
        <x:v>0.7410191531631566</x:v>
      </x:c>
      <x:c r="D56" s="18" t="n">
        <x:v>0.379273352247172</x:v>
      </x:c>
      <x:c r="E56" s="18" t="n">
        <x:v>0.0919652922324913</x:v>
      </x:c>
      <x:c r="F56" s="19" t="n">
        <x:v>1</x:v>
      </x:c>
      <x:c r="G56" s="22" t="n">
        <x:v>5.551115123125784e-16</x:v>
      </x:c>
      <x:c r="H56" s="3"/>
      <x:c r="I56" s="3"/>
      <x:c r="J56" s="3"/>
    </x:row>
    <x:row r="57" ht="24" customHeight="1">
      <x:c r="A57" s="3"/>
      <x:c r="B57" s="12" t="str">
        <x:v>tev1:0.8b</x:v>
      </x:c>
      <x:c r="C57" s="18" t="n">
        <x:v>1.081502729398362</x:v>
      </x:c>
      <x:c r="D57" s="18" t="n">
        <x:v>0.5363820669006808</x:v>
      </x:c>
      <x:c r="E57" s="18" t="n">
        <x:v>0.1007677450720603</x:v>
      </x:c>
      <x:c r="F57" s="19" t="n">
        <x:v>1</x:v>
      </x:c>
      <x:c r="G57" s="22" t="n">
        <x:v>4.440892098500626e-16</x:v>
      </x:c>
      <x:c r="H57" s="3"/>
      <x:c r="I57" s="3"/>
      <x:c r="J57" s="3"/>
    </x:row>
    <x:row r="58" ht="24" customHeight="1">
      <x:c r="A58" s="3"/>
      <x:c r="B58" s="12" t="str">
        <x:v>tev1:4b</x:v>
      </x:c>
      <x:c r="C58" s="19" t="n">
        <x:v>0.7038217094989112</x:v>
      </x:c>
      <x:c r="D58" s="18" t="n">
        <x:v>0.3662788747870136</x:v>
      </x:c>
      <x:c r="E58" s="19" t="n">
        <x:v>0.024643722369057</x:v>
      </x:c>
      <x:c r="F58" s="19" t="n">
        <x:v>1</x:v>
      </x:c>
      <x:c r="G58" s="22" t="n">
        <x:v>4.440892098500626e-16</x:v>
      </x:c>
      <x:c r="H58" s="3"/>
      <x:c r="I58" s="3"/>
      <x:c r="J58" s="3"/>
    </x:row>
    <x:row r="59" ht="24" customHeight="1">
      <x:c r="A59" s="3"/>
      <x:c r="B59" s="14" t="str">
        <x:v>typesafe/jev-1.13</x:v>
      </x:c>
      <x:c r="C59" s="20" t="n">
        <x:v>1.348328070852659</x:v>
      </x:c>
      <x:c r="D59" s="21" t="n">
        <x:v>0.328234378087141</x:v>
      </x:c>
      <x:c r="E59" s="20" t="n">
        <x:v>0.0871788289435348</x:v>
      </x:c>
      <x:c r="F59" s="21" t="n">
        <x:v>1</x:v>
      </x:c>
      <x:c r="G59" s="23" t="n">
        <x:v>0.01</x:v>
      </x:c>
      <x:c r="H59" s="3"/>
      <x:c r="I59" s="3"/>
      <x:c r="J59" s="3"/>
    </x:row>
    <x:row r="60" ht="24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</x:row>
    <x:row r="61" ht="24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</x:row>
    <x:row r="62" ht="29" customHeight="1">
      <x:c r="A62" s="3"/>
      <x:c r="B62" s="4" t="str">
        <x:v>TABLE 7.</x:v>
      </x:c>
      <x:c r="C62" s="5" t="str">
        <x:v>Sentiment latency (ms).</x:v>
      </x:c>
      <x:c r="D62" s="5"/>
      <x:c r="E62" s="5"/>
      <x:c r="F62" s="3"/>
      <x:c r="G62" s="3"/>
      <x:c r="H62" s="3"/>
      <x:c r="I62" s="3"/>
      <x:c r="J62" s="3"/>
    </x:row>
    <x:row r="63" ht="21" customHeight="1">
      <x:c r="A63" s="3"/>
      <x:c r="B63" s="6" t="str">
        <x:v>Indonesian: sentiment, n = 12,760</x:v>
      </x:c>
      <x:c r="C63" s="6"/>
      <x:c r="D63" s="6"/>
      <x:c r="E63" s="6"/>
      <x:c r="F63" s="3"/>
      <x:c r="G63" s="3"/>
      <x:c r="H63" s="3"/>
      <x:c r="I63" s="3"/>
      <x:c r="J63" s="3"/>
    </x:row>
    <x:row r="64" ht="9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</x:row>
    <x:row r="65" ht="42" customHeight="1">
      <x:c r="A65" s="3"/>
      <x:c r="B65" s="11" t="str">
        <x:v>Model</x:v>
      </x:c>
      <x:c r="C65" s="10" t="str">
        <x:v>Mean (ms)</x:v>
      </x:c>
      <x:c r="D65" s="10" t="str">
        <x:v>P50 (ms)</x:v>
      </x:c>
      <x:c r="E65" s="10" t="str">
        <x:v>P95 (ms)</x:v>
      </x:c>
      <x:c r="F65" s="3"/>
      <x:c r="G65" s="3"/>
      <x:c r="H65" s="3"/>
      <x:c r="I65" s="3"/>
      <x:c r="J65" s="3"/>
    </x:row>
    <x:row r="66" ht="24" customHeight="1">
      <x:c r="A66" s="3"/>
      <x:c r="B66" s="12" t="str">
        <x:v>nimble:9b</x:v>
      </x:c>
      <x:c r="C66" s="18" t="n">
        <x:v>960.338751567398</x:v>
      </x:c>
      <x:c r="D66" s="18" t="n">
        <x:v>1030.395</x:v>
      </x:c>
      <x:c r="E66" s="18" t="n">
        <x:v>1089.15415</x:v>
      </x:c>
      <x:c r="F66" s="3"/>
      <x:c r="G66" s="3"/>
      <x:c r="H66" s="3"/>
      <x:c r="I66" s="3"/>
      <x:c r="J66" s="3"/>
    </x:row>
    <x:row r="67" ht="24" customHeight="1">
      <x:c r="A67" s="3"/>
      <x:c r="B67" s="12" t="str">
        <x:v>tev1:0.8b</x:v>
      </x:c>
      <x:c r="C67" s="18" t="n">
        <x:v>811.8424963166143</x:v>
      </x:c>
      <x:c r="D67" s="18" t="n">
        <x:v>775.0685</x:v>
      </x:c>
      <x:c r="E67" s="18" t="n">
        <x:v>1036.2134</x:v>
      </x:c>
      <x:c r="F67" s="3"/>
      <x:c r="G67" s="3"/>
      <x:c r="H67" s="3"/>
      <x:c r="I67" s="3"/>
      <x:c r="J67" s="3"/>
    </x:row>
    <x:row r="68" ht="24" customHeight="1">
      <x:c r="A68" s="3"/>
      <x:c r="B68" s="12" t="str">
        <x:v>tev1:4b</x:v>
      </x:c>
      <x:c r="C68" s="18" t="n">
        <x:v>914.9546428683386</x:v>
      </x:c>
      <x:c r="D68" s="18" t="n">
        <x:v>824.1575</x:v>
      </x:c>
      <x:c r="E68" s="18" t="n">
        <x:v>1090.98415</x:v>
      </x:c>
      <x:c r="F68" s="3"/>
      <x:c r="G68" s="3"/>
      <x:c r="H68" s="3"/>
      <x:c r="I68" s="3"/>
      <x:c r="J68" s="3"/>
    </x:row>
    <x:row r="69" ht="24" customHeight="1">
      <x:c r="A69" s="3"/>
      <x:c r="B69" s="14" t="str">
        <x:v>typesafe/jev-1.13</x:v>
      </x:c>
      <x:c r="C69" s="21" t="n">
        <x:v>303.2676910658307</x:v>
      </x:c>
      <x:c r="D69" s="21" t="n">
        <x:v>293.2345</x:v>
      </x:c>
      <x:c r="E69" s="21" t="n">
        <x:v>379.4425499999999</x:v>
      </x:c>
      <x:c r="F69" s="3"/>
      <x:c r="G69" s="3"/>
      <x:c r="H69" s="3"/>
      <x:c r="I69" s="3"/>
      <x:c r="J69" s="3"/>
    </x:row>
    <x:row r="70" ht="24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</x:row>
    <x:row r="71" ht="24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</x:row>
    <x:row r="72" ht="29" customHeight="1">
      <x:c r="A72" s="3"/>
      <x:c r="B72" s="4" t="str">
        <x:v>TABLE 8.</x:v>
      </x:c>
      <x:c r="C72" s="5" t="str">
        <x:v>Emotion latency (ms).</x:v>
      </x:c>
      <x:c r="D72" s="5"/>
      <x:c r="E72" s="5"/>
      <x:c r="F72" s="3"/>
      <x:c r="G72" s="3"/>
      <x:c r="H72" s="3"/>
      <x:c r="I72" s="3"/>
      <x:c r="J72" s="3"/>
    </x:row>
    <x:row r="73" ht="21" customHeight="1">
      <x:c r="A73" s="3"/>
      <x:c r="B73" s="6" t="str">
        <x:v>Indonesian: emotion, n = 4,403</x:v>
      </x:c>
      <x:c r="C73" s="6"/>
      <x:c r="D73" s="6"/>
      <x:c r="E73" s="6"/>
      <x:c r="F73" s="3"/>
      <x:c r="G73" s="3"/>
      <x:c r="H73" s="3"/>
      <x:c r="I73" s="3"/>
      <x:c r="J73" s="3"/>
    </x:row>
    <x:row r="74" ht="9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</x:row>
    <x:row r="75" ht="42" customHeight="1">
      <x:c r="A75" s="3"/>
      <x:c r="B75" s="11" t="str">
        <x:v>Model</x:v>
      </x:c>
      <x:c r="C75" s="10" t="str">
        <x:v>Mean (ms)</x:v>
      </x:c>
      <x:c r="D75" s="10" t="str">
        <x:v>P50 (ms)</x:v>
      </x:c>
      <x:c r="E75" s="10" t="str">
        <x:v>P95 (ms)</x:v>
      </x:c>
      <x:c r="F75" s="3"/>
      <x:c r="G75" s="3"/>
      <x:c r="H75" s="3"/>
      <x:c r="I75" s="3"/>
      <x:c r="J75" s="3"/>
    </x:row>
    <x:row r="76" ht="24" customHeight="1">
      <x:c r="A76" s="3"/>
      <x:c r="B76" s="12" t="str">
        <x:v>nimble:9b</x:v>
      </x:c>
      <x:c r="C76" s="18" t="n">
        <x:v>1025.9692500567792</x:v>
      </x:c>
      <x:c r="D76" s="18" t="n">
        <x:v>1038.798</x:v>
      </x:c>
      <x:c r="E76" s="18" t="n">
        <x:v>1203.1157999999998</x:v>
      </x:c>
      <x:c r="F76" s="3"/>
      <x:c r="G76" s="3"/>
      <x:c r="H76" s="3"/>
      <x:c r="I76" s="3"/>
      <x:c r="J76" s="3"/>
    </x:row>
    <x:row r="77" ht="24" customHeight="1">
      <x:c r="A77" s="3"/>
      <x:c r="B77" s="12" t="str">
        <x:v>tev1:0.8b</x:v>
      </x:c>
      <x:c r="C77" s="18" t="n">
        <x:v>818.7358005905064</x:v>
      </x:c>
      <x:c r="D77" s="18" t="n">
        <x:v>777.531</x:v>
      </x:c>
      <x:c r="E77" s="18" t="n">
        <x:v>1042.4292999999998</x:v>
      </x:c>
      <x:c r="F77" s="3"/>
      <x:c r="G77" s="3"/>
      <x:c r="H77" s="3"/>
      <x:c r="I77" s="3"/>
      <x:c r="J77" s="3"/>
    </x:row>
    <x:row r="78" ht="24" customHeight="1">
      <x:c r="A78" s="3"/>
      <x:c r="B78" s="12" t="str">
        <x:v>tev1:4b</x:v>
      </x:c>
      <x:c r="C78" s="18" t="n">
        <x:v>931.5117242789008</x:v>
      </x:c>
      <x:c r="D78" s="18" t="n">
        <x:v>1030.905</x:v>
      </x:c>
      <x:c r="E78" s="18" t="n">
        <x:v>1091.8321</x:v>
      </x:c>
      <x:c r="F78" s="3"/>
      <x:c r="G78" s="3"/>
      <x:c r="H78" s="3"/>
      <x:c r="I78" s="3"/>
      <x:c r="J78" s="3"/>
    </x:row>
    <x:row r="79" ht="24" customHeight="1">
      <x:c r="A79" s="3"/>
      <x:c r="B79" s="14" t="str">
        <x:v>typesafe/jev-1.13</x:v>
      </x:c>
      <x:c r="C79" s="21" t="n">
        <x:v>305.12491165114693</x:v>
      </x:c>
      <x:c r="D79" s="21" t="n">
        <x:v>291.327</x:v>
      </x:c>
      <x:c r="E79" s="21" t="n">
        <x:v>397.1694999999999</x:v>
      </x:c>
      <x:c r="F79" s="3"/>
      <x:c r="G79" s="3"/>
      <x:c r="H79" s="3"/>
      <x:c r="I79" s="3"/>
      <x:c r="J79" s="3"/>
    </x:row>
    <x:row r="80" ht="24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</x:row>
    <x:row r="81" ht="24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</x:row>
    <x:row r="82" ht="29" customHeight="1">
      <x:c r="A82" s="3"/>
      <x:c r="B82" s="4" t="str">
        <x:v>TABLE 9.</x:v>
      </x:c>
      <x:c r="C82" s="5" t="str">
        <x:v>Sentiment evaluation coverage.</x:v>
      </x:c>
      <x:c r="D82" s="5"/>
      <x:c r="E82" s="5"/>
      <x:c r="F82" s="5"/>
      <x:c r="G82" s="5"/>
      <x:c r="H82" s="5"/>
      <x:c r="I82" s="3"/>
      <x:c r="J82" s="3"/>
    </x:row>
    <x:row r="83" ht="21" customHeight="1">
      <x:c r="A83" s="3"/>
      <x:c r="B83" s="6" t="str">
        <x:v>Indonesian: sentiment, n = 12,760</x:v>
      </x:c>
      <x:c r="C83" s="6"/>
      <x:c r="D83" s="6"/>
      <x:c r="E83" s="6"/>
      <x:c r="F83" s="6"/>
      <x:c r="G83" s="6"/>
      <x:c r="H83" s="6"/>
      <x:c r="I83" s="3"/>
      <x:c r="J83" s="3"/>
    </x:row>
    <x:row r="84" ht="9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</x:row>
    <x:row r="85" ht="42" customHeight="1">
      <x:c r="A85" s="3"/>
      <x:c r="B85" s="11" t="str">
        <x:v>Model</x:v>
      </x:c>
      <x:c r="C85" s="10" t="str">
        <x:v>Total</x:v>
      </x:c>
      <x:c r="D85" s="10" t="str">
        <x:v>Successful</x:v>
      </x:c>
      <x:c r="E85" s="10" t="str">
        <x:v>Errors</x:v>
      </x:c>
      <x:c r="F85" s="10" t="str">
        <x:v>Error Rate</x:v>
      </x:c>
      <x:c r="G85" s="10" t="str">
        <x:v>Probability
Records</x:v>
      </x:c>
      <x:c r="H85" s="10" t="str">
        <x:v>Choice
Mismatches</x:v>
      </x:c>
      <x:c r="I85" s="3"/>
      <x:c r="J85" s="3"/>
    </x:row>
    <x:row r="86" ht="24" customHeight="1">
      <x:c r="A86" s="3"/>
      <x:c r="B86" s="12" t="str">
        <x:v>nimble:9b</x:v>
      </x:c>
      <x:c r="C86" s="24" t="n">
        <x:v>12760</x:v>
      </x:c>
      <x:c r="D86" s="24" t="n">
        <x:v>12760</x:v>
      </x:c>
      <x:c r="E86" s="24" t="n">
        <x:v>0</x:v>
      </x:c>
      <x:c r="F86" s="16" t="n">
        <x:v>0</x:v>
      </x:c>
      <x:c r="G86" s="24" t="n">
        <x:v>12760</x:v>
      </x:c>
      <x:c r="H86" s="24" t="n">
        <x:v>0</x:v>
      </x:c>
      <x:c r="I86" s="3"/>
      <x:c r="J86" s="3"/>
    </x:row>
    <x:row r="87" ht="24" customHeight="1">
      <x:c r="A87" s="3"/>
      <x:c r="B87" s="12" t="str">
        <x:v>tev1:0.8b</x:v>
      </x:c>
      <x:c r="C87" s="24" t="n">
        <x:v>12760</x:v>
      </x:c>
      <x:c r="D87" s="24" t="n">
        <x:v>12760</x:v>
      </x:c>
      <x:c r="E87" s="24" t="n">
        <x:v>0</x:v>
      </x:c>
      <x:c r="F87" s="16" t="n">
        <x:v>0</x:v>
      </x:c>
      <x:c r="G87" s="24" t="n">
        <x:v>12760</x:v>
      </x:c>
      <x:c r="H87" s="24" t="n">
        <x:v>0</x:v>
      </x:c>
      <x:c r="I87" s="3"/>
      <x:c r="J87" s="3"/>
    </x:row>
    <x:row r="88" ht="24" customHeight="1">
      <x:c r="A88" s="3"/>
      <x:c r="B88" s="12" t="str">
        <x:v>tev1:4b</x:v>
      </x:c>
      <x:c r="C88" s="24" t="n">
        <x:v>12760</x:v>
      </x:c>
      <x:c r="D88" s="24" t="n">
        <x:v>12760</x:v>
      </x:c>
      <x:c r="E88" s="24" t="n">
        <x:v>0</x:v>
      </x:c>
      <x:c r="F88" s="16" t="n">
        <x:v>0</x:v>
      </x:c>
      <x:c r="G88" s="24" t="n">
        <x:v>12760</x:v>
      </x:c>
      <x:c r="H88" s="24" t="n">
        <x:v>0</x:v>
      </x:c>
      <x:c r="I88" s="3"/>
      <x:c r="J88" s="3"/>
    </x:row>
    <x:row r="89" ht="24" customHeight="1">
      <x:c r="A89" s="3"/>
      <x:c r="B89" s="14" t="str">
        <x:v>typesafe/jev-1.13</x:v>
      </x:c>
      <x:c r="C89" s="25" t="n">
        <x:v>12760</x:v>
      </x:c>
      <x:c r="D89" s="25" t="n">
        <x:v>12760</x:v>
      </x:c>
      <x:c r="E89" s="25" t="n">
        <x:v>0</x:v>
      </x:c>
      <x:c r="F89" s="17" t="n">
        <x:v>0</x:v>
      </x:c>
      <x:c r="G89" s="25" t="n">
        <x:v>12760</x:v>
      </x:c>
      <x:c r="H89" s="25" t="n">
        <x:v>12</x:v>
      </x:c>
      <x:c r="I89" s="3"/>
      <x:c r="J89" s="3"/>
    </x:row>
    <x:row r="90" ht="24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</x:row>
    <x:row r="91" ht="24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</x:row>
    <x:row r="92" ht="29" customHeight="1">
      <x:c r="A92" s="3"/>
      <x:c r="B92" s="4" t="str">
        <x:v>TABLE 10.</x:v>
      </x:c>
      <x:c r="C92" s="5" t="str">
        <x:v>Emotion evaluation coverage.</x:v>
      </x:c>
      <x:c r="D92" s="5"/>
      <x:c r="E92" s="5"/>
      <x:c r="F92" s="5"/>
      <x:c r="G92" s="5"/>
      <x:c r="H92" s="5"/>
      <x:c r="I92" s="3"/>
      <x:c r="J92" s="3"/>
    </x:row>
    <x:row r="93" ht="21" customHeight="1">
      <x:c r="A93" s="3"/>
      <x:c r="B93" s="6" t="str">
        <x:v>Indonesian: emotion, n = 4,403</x:v>
      </x:c>
      <x:c r="C93" s="6"/>
      <x:c r="D93" s="6"/>
      <x:c r="E93" s="6"/>
      <x:c r="F93" s="6"/>
      <x:c r="G93" s="6"/>
      <x:c r="H93" s="6"/>
      <x:c r="I93" s="3"/>
      <x:c r="J93" s="3"/>
    </x:row>
    <x:row r="94" ht="9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</x:row>
    <x:row r="95" ht="42" customHeight="1">
      <x:c r="A95" s="3"/>
      <x:c r="B95" s="11" t="str">
        <x:v>Model</x:v>
      </x:c>
      <x:c r="C95" s="10" t="str">
        <x:v>Total</x:v>
      </x:c>
      <x:c r="D95" s="10" t="str">
        <x:v>Successful</x:v>
      </x:c>
      <x:c r="E95" s="10" t="str">
        <x:v>Errors</x:v>
      </x:c>
      <x:c r="F95" s="10" t="str">
        <x:v>Error Rate</x:v>
      </x:c>
      <x:c r="G95" s="10" t="str">
        <x:v>Probability
Records</x:v>
      </x:c>
      <x:c r="H95" s="10" t="str">
        <x:v>Choice
Mismatches</x:v>
      </x:c>
      <x:c r="I95" s="3"/>
      <x:c r="J95" s="3"/>
    </x:row>
    <x:row r="96" ht="24" customHeight="1">
      <x:c r="A96" s="3"/>
      <x:c r="B96" s="12" t="str">
        <x:v>nimble:9b</x:v>
      </x:c>
      <x:c r="C96" s="24" t="n">
        <x:v>4403</x:v>
      </x:c>
      <x:c r="D96" s="24" t="n">
        <x:v>4403</x:v>
      </x:c>
      <x:c r="E96" s="24" t="n">
        <x:v>0</x:v>
      </x:c>
      <x:c r="F96" s="16" t="n">
        <x:v>0</x:v>
      </x:c>
      <x:c r="G96" s="24" t="n">
        <x:v>4403</x:v>
      </x:c>
      <x:c r="H96" s="24" t="n">
        <x:v>0</x:v>
      </x:c>
      <x:c r="I96" s="3"/>
      <x:c r="J96" s="3"/>
    </x:row>
    <x:row r="97" ht="24" customHeight="1">
      <x:c r="A97" s="3"/>
      <x:c r="B97" s="12" t="str">
        <x:v>tev1:0.8b</x:v>
      </x:c>
      <x:c r="C97" s="24" t="n">
        <x:v>4403</x:v>
      </x:c>
      <x:c r="D97" s="24" t="n">
        <x:v>4403</x:v>
      </x:c>
      <x:c r="E97" s="24" t="n">
        <x:v>0</x:v>
      </x:c>
      <x:c r="F97" s="16" t="n">
        <x:v>0</x:v>
      </x:c>
      <x:c r="G97" s="24" t="n">
        <x:v>4403</x:v>
      </x:c>
      <x:c r="H97" s="24" t="n">
        <x:v>0</x:v>
      </x:c>
      <x:c r="I97" s="3"/>
      <x:c r="J97" s="3"/>
    </x:row>
    <x:row r="98" ht="24" customHeight="1">
      <x:c r="A98" s="3"/>
      <x:c r="B98" s="12" t="str">
        <x:v>tev1:4b</x:v>
      </x:c>
      <x:c r="C98" s="24" t="n">
        <x:v>4403</x:v>
      </x:c>
      <x:c r="D98" s="24" t="n">
        <x:v>4403</x:v>
      </x:c>
      <x:c r="E98" s="24" t="n">
        <x:v>0</x:v>
      </x:c>
      <x:c r="F98" s="16" t="n">
        <x:v>0</x:v>
      </x:c>
      <x:c r="G98" s="24" t="n">
        <x:v>4403</x:v>
      </x:c>
      <x:c r="H98" s="24" t="n">
        <x:v>0</x:v>
      </x:c>
      <x:c r="I98" s="3"/>
      <x:c r="J98" s="3"/>
    </x:row>
    <x:row r="99" ht="24" customHeight="1">
      <x:c r="A99" s="3"/>
      <x:c r="B99" s="14" t="str">
        <x:v>typesafe/jev-1.13</x:v>
      </x:c>
      <x:c r="C99" s="25" t="n">
        <x:v>4403</x:v>
      </x:c>
      <x:c r="D99" s="25" t="n">
        <x:v>4403</x:v>
      </x:c>
      <x:c r="E99" s="25" t="n">
        <x:v>0</x:v>
      </x:c>
      <x:c r="F99" s="17" t="n">
        <x:v>0</x:v>
      </x:c>
      <x:c r="G99" s="25" t="n">
        <x:v>4403</x:v>
      </x:c>
      <x:c r="H99" s="25" t="n">
        <x:v>7</x:v>
      </x:c>
      <x:c r="I99" s="3"/>
      <x:c r="J99" s="3"/>
    </x:row>
    <x:row r="100" ht="24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</x:row>
    <x:row r="101" ht="24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</x:row>
    <x:row r="102" ht="23" customHeight="1">
      <x:c r="A102" s="3"/>
      <x:c r="B102" s="6" t="str">
        <x:v>Bold marks the best exact value within each country and task; ties are included.</x:v>
      </x:c>
      <x:c r="C102" s="6"/>
      <x:c r="D102" s="6"/>
      <x:c r="E102" s="6"/>
      <x:c r="F102" s="6"/>
      <x:c r="G102" s="6"/>
      <x:c r="H102" s="6"/>
      <x:c r="I102" s="3"/>
      <x:c r="J102" s="3"/>
    </x:row>
    <x:row r="103" ht="23" customHeight="1">
      <x:c r="A103" s="3"/>
      <x:c r="B103" s="6" t="str">
        <x:v>Higher is better for accuracy, F1 and probability coverage. Lower is better for loss, Brier, ECE and latency.</x:v>
      </x:c>
      <x:c r="C103" s="6"/>
      <x:c r="D103" s="6"/>
      <x:c r="E103" s="6"/>
      <x:c r="F103" s="6"/>
      <x:c r="G103" s="6"/>
      <x:c r="H103" s="6"/>
      <x:c r="I103" s="3"/>
      <x:c r="J103" s="3"/>
    </x:row>
    <x:row r="104" ht="23" customHeight="1">
      <x:c r="A104" s="3"/>
      <x:c r="B104" s="6" t="str">
        <x:v>Scores display three decimals; underlying values retain source precision. Confidence interval levels were not specified.</x:v>
      </x:c>
      <x:c r="C104" s="6"/>
      <x:c r="D104" s="6"/>
      <x:c r="E104" s="6"/>
      <x:c r="F104" s="6"/>
      <x:c r="G104" s="6"/>
      <x:c r="H104" s="6"/>
      <x:c r="I104" s="3"/>
      <x:c r="J104" s="3"/>
    </x:row>
    <x:row r="105" ht="23" customHeight="1">
      <x:c r="A105" s="3"/>
      <x:c r="B105" s="6" t="str">
        <x:v>Per-class precision, recall, F1, and support are included in the tables below.</x:v>
      </x:c>
      <x:c r="C105" s="6"/>
      <x:c r="D105" s="6"/>
      <x:c r="E105" s="6"/>
      <x:c r="F105" s="6"/>
      <x:c r="G105" s="6"/>
      <x:c r="H105" s="6"/>
      <x:c r="I105" s="3"/>
      <x:c r="J105" s="3"/>
    </x:row>
    <x:row r="106" ht="23" customHeight="1">
      <x:c r="A106" s="3"/>
      <x:c r="B106" s="6" t="str">
        <x:v>Source: summary_indonesian_sentiment_emotion.csv</x:v>
      </x:c>
      <x:c r="C106" s="6"/>
      <x:c r="D106" s="6"/>
      <x:c r="E106" s="6"/>
      <x:c r="F106" s="6"/>
      <x:c r="G106" s="6"/>
      <x:c r="H106" s="6"/>
      <x:c r="I106" s="3"/>
      <x:c r="J106" s="3"/>
    </x:row>
    <x:row r="107" ht="23" customHeight="1">
      <x:c r="A107" s="3"/>
      <x:c r="B107" s="6" t="str">
        <x:v>Source: per_class_metrics_indonesian.csv</x:v>
      </x:c>
      <x:c r="C107" s="6"/>
      <x:c r="D107" s="6"/>
      <x:c r="E107" s="6"/>
      <x:c r="F107" s="6"/>
      <x:c r="G107" s="6"/>
      <x:c r="H107" s="6"/>
      <x:c r="I107" s="3"/>
      <x:c r="J107" s="3"/>
    </x:row>
    <x:row r="108" ht="24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</x:row>
    <x:row r="109" ht="24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</x:row>
    <x:row r="110" ht="24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</x:row>
    <x:row r="111" ht="24" customHeight="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</x:row>
    <x:row r="112" ht="29" customHeight="1">
      <x:c r="A112" s="33"/>
      <x:c r="B112" s="36" t="str">
        <x:v>TABLE 11.</x:v>
      </x:c>
      <x:c r="C112" s="37" t="str">
        <x:v>Sentiment classification precision.</x:v>
      </x:c>
      <x:c r="D112" s="37"/>
      <x:c r="E112" s="37"/>
      <x:c r="F112" s="37"/>
      <x:c r="G112" s="33"/>
      <x:c r="H112" s="33"/>
      <x:c r="I112" s="33"/>
      <x:c r="J112" s="33"/>
      <x:c r="K112" s="33"/>
      <x:c r="L112" s="33"/>
    </x:row>
    <x:row r="113" ht="21" customHeight="1">
      <x:c r="A113" s="33"/>
      <x:c r="B113" s="38" t="str">
        <x:v>Indonesian: sentiment, n = 12,760</x:v>
      </x:c>
      <x:c r="C113" s="38"/>
      <x:c r="D113" s="38"/>
      <x:c r="E113" s="38"/>
      <x:c r="F113" s="38"/>
      <x:c r="G113" s="33"/>
      <x:c r="H113" s="33"/>
      <x:c r="I113" s="33"/>
      <x:c r="J113" s="33"/>
      <x:c r="K113" s="33"/>
      <x:c r="L113" s="33"/>
    </x:row>
    <x:row r="114" ht="9" customHeight="1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</x:row>
    <x:row r="115" ht="42" customHeight="1">
      <x:c r="A115" s="33"/>
      <x:c r="B115" s="43" t="str">
        <x:v>Model</x:v>
      </x:c>
      <x:c r="C115" s="42" t="str">
        <x:v>positive</x:v>
      </x:c>
      <x:c r="D115" s="42" t="str">
        <x:v>negative</x:v>
      </x:c>
      <x:c r="E115" s="42" t="str">
        <x:v>neutral</x:v>
      </x:c>
      <x:c r="F115" s="42" t="str">
        <x:v>Macro-
Precision</x:v>
      </x:c>
      <x:c r="G115" s="33"/>
      <x:c r="H115" s="33"/>
      <x:c r="I115" s="33"/>
      <x:c r="J115" s="33"/>
      <x:c r="K115" s="33"/>
      <x:c r="L115" s="33"/>
    </x:row>
    <x:row r="116" ht="24" customHeight="1">
      <x:c r="A116" s="33"/>
      <x:c r="B116" s="44" t="str">
        <x:v>nimble:9b</x:v>
      </x:c>
      <x:c r="C116" s="49" t="n">
        <x:v>0.9289491525423728</x:v>
      </x:c>
      <x:c r="D116" s="49" t="n">
        <x:v>0.8714726108608015</x:v>
      </x:c>
      <x:c r="E116" s="51" t="n">
        <x:v>0.6797945205479452</x:v>
      </x:c>
      <x:c r="F116" s="51" t="n">
        <x:f>AVERAGE(C116:E116)</x:f>
        <x:v>0.8267387613170398</x:v>
      </x:c>
      <x:c r="G116" s="33"/>
      <x:c r="H116" s="33"/>
      <x:c r="I116" s="33"/>
      <x:c r="J116" s="33"/>
      <x:c r="K116" s="33"/>
      <x:c r="L116" s="33"/>
    </x:row>
    <x:row r="117" ht="24" customHeight="1">
      <x:c r="A117" s="33"/>
      <x:c r="B117" s="44" t="str">
        <x:v>tev1:0.8b</x:v>
      </x:c>
      <x:c r="C117" s="49" t="n">
        <x:v>0.9128832547169812</x:v>
      </x:c>
      <x:c r="D117" s="49" t="n">
        <x:v>0.8295918367346938</x:v>
      </x:c>
      <x:c r="E117" s="49" t="n">
        <x:v>0.3219844357976654</x:v>
      </x:c>
      <x:c r="F117" s="49" t="n">
        <x:f>AVERAGE(C117:E117)</x:f>
        <x:v>0.6881531757497802</x:v>
      </x:c>
      <x:c r="G117" s="33"/>
      <x:c r="H117" s="33"/>
      <x:c r="I117" s="33"/>
      <x:c r="J117" s="33"/>
      <x:c r="K117" s="33"/>
      <x:c r="L117" s="33"/>
    </x:row>
    <x:row r="118" ht="24" customHeight="1">
      <x:c r="A118" s="33"/>
      <x:c r="B118" s="44" t="str">
        <x:v>tev1:4b</x:v>
      </x:c>
      <x:c r="C118" s="49" t="n">
        <x:v>0.9489854244069734</x:v>
      </x:c>
      <x:c r="D118" s="51" t="n">
        <x:v>0.91619812583668</x:v>
      </x:c>
      <x:c r="E118" s="49" t="n">
        <x:v>0.4913665515540207</x:v>
      </x:c>
      <x:c r="F118" s="49" t="n">
        <x:f>AVERAGE(C118:E118)</x:f>
        <x:v>0.7855167005992247</x:v>
      </x:c>
      <x:c r="G118" s="33"/>
      <x:c r="H118" s="33"/>
      <x:c r="I118" s="33"/>
      <x:c r="J118" s="33"/>
      <x:c r="K118" s="33"/>
      <x:c r="L118" s="33"/>
    </x:row>
    <x:row r="119" ht="24" customHeight="1">
      <x:c r="A119" s="33"/>
      <x:c r="B119" s="47" t="str">
        <x:v>typesafe/jev-1.13</x:v>
      </x:c>
      <x:c r="C119" s="50" t="n">
        <x:v>0.9516474112109542</x:v>
      </x:c>
      <x:c r="D119" s="52" t="n">
        <x:v>0.8499115826702034</x:v>
      </x:c>
      <x:c r="E119" s="52" t="n">
        <x:v>0.6669387755102041</x:v>
      </x:c>
      <x:c r="F119" s="52" t="n">
        <x:f>AVERAGE(C119:E119)</x:f>
        <x:v>0.8228325897971205</x:v>
      </x:c>
      <x:c r="G119" s="33"/>
      <x:c r="H119" s="33"/>
      <x:c r="I119" s="33"/>
      <x:c r="J119" s="33"/>
      <x:c r="K119" s="33"/>
      <x:c r="L119" s="33"/>
    </x:row>
    <x:row r="120" ht="24" customHeight="1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</x:row>
    <x:row r="121" ht="24" customHeight="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</x:row>
    <x:row r="122" ht="29" customHeight="1">
      <x:c r="A122" s="33"/>
      <x:c r="B122" s="36" t="str">
        <x:v>TABLE 12.</x:v>
      </x:c>
      <x:c r="C122" s="37" t="str">
        <x:v>Sentiment classification recall.</x:v>
      </x:c>
      <x:c r="D122" s="37"/>
      <x:c r="E122" s="37"/>
      <x:c r="F122" s="37"/>
      <x:c r="G122" s="33"/>
      <x:c r="H122" s="33"/>
      <x:c r="I122" s="33"/>
      <x:c r="J122" s="33"/>
      <x:c r="K122" s="33"/>
      <x:c r="L122" s="33"/>
    </x:row>
    <x:row r="123" ht="21" customHeight="1">
      <x:c r="A123" s="33"/>
      <x:c r="B123" s="38" t="str">
        <x:v>Indonesian: sentiment, n = 12,760</x:v>
      </x:c>
      <x:c r="C123" s="38"/>
      <x:c r="D123" s="38"/>
      <x:c r="E123" s="38"/>
      <x:c r="F123" s="38"/>
      <x:c r="G123" s="33"/>
      <x:c r="H123" s="33"/>
      <x:c r="I123" s="33"/>
      <x:c r="J123" s="33"/>
      <x:c r="K123" s="33"/>
      <x:c r="L123" s="33"/>
    </x:row>
    <x:row r="124" ht="9" customHeight="1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</x:row>
    <x:row r="125" ht="42" customHeight="1">
      <x:c r="A125" s="33"/>
      <x:c r="B125" s="43" t="str">
        <x:v>Model</x:v>
      </x:c>
      <x:c r="C125" s="42" t="str">
        <x:v>positive</x:v>
      </x:c>
      <x:c r="D125" s="42" t="str">
        <x:v>negative</x:v>
      </x:c>
      <x:c r="E125" s="42" t="str">
        <x:v>neutral</x:v>
      </x:c>
      <x:c r="F125" s="42" t="str">
        <x:v>Macro-
Recall</x:v>
      </x:c>
      <x:c r="G125" s="33"/>
      <x:c r="H125" s="33"/>
      <x:c r="I125" s="33"/>
      <x:c r="J125" s="33"/>
      <x:c r="K125" s="33"/>
      <x:c r="L125" s="33"/>
    </x:row>
    <x:row r="126" ht="24" customHeight="1">
      <x:c r="A126" s="33"/>
      <x:c r="B126" s="44" t="str">
        <x:v>nimble:9b</x:v>
      </x:c>
      <x:c r="C126" s="51" t="n">
        <x:v>0.9309688816415274</x:v>
      </x:c>
      <x:c r="D126" s="49" t="n">
        <x:v>0.9110064452156668</x:v>
      </x:c>
      <x:c r="E126" s="49" t="n">
        <x:v>0.5808339429407462</x:v>
      </x:c>
      <x:c r="F126" s="49" t="n">
        <x:f>AVERAGE(C126:E126)</x:f>
        <x:v>0.8076030899326468</x:v>
      </x:c>
      <x:c r="G126" s="33"/>
      <x:c r="H126" s="33"/>
      <x:c r="I126" s="33"/>
      <x:c r="J126" s="33"/>
      <x:c r="K126" s="33"/>
      <x:c r="L126" s="33"/>
    </x:row>
    <x:row r="127" ht="24" customHeight="1">
      <x:c r="A127" s="33"/>
      <x:c r="B127" s="44" t="str">
        <x:v>tev1:0.8b</x:v>
      </x:c>
      <x:c r="C127" s="49" t="n">
        <x:v>0.8415545590433483</x:v>
      </x:c>
      <x:c r="D127" s="49" t="n">
        <x:v>0.8061477441745166</x:v>
      </x:c>
      <x:c r="E127" s="49" t="n">
        <x:v>0.4842721287490856</x:v>
      </x:c>
      <x:c r="F127" s="49" t="n">
        <x:f>AVERAGE(C127:E127)</x:f>
        <x:v>0.7106581439889834</x:v>
      </x:c>
      <x:c r="G127" s="33"/>
      <x:c r="H127" s="33"/>
      <x:c r="I127" s="33"/>
      <x:c r="J127" s="33"/>
      <x:c r="K127" s="33"/>
      <x:c r="L127" s="33"/>
    </x:row>
    <x:row r="128" ht="24" customHeight="1">
      <x:c r="A128" s="33"/>
      <x:c r="B128" s="44" t="str">
        <x:v>tev1:4b</x:v>
      </x:c>
      <x:c r="C128" s="49" t="n">
        <x:v>0.9024323957059384</x:v>
      </x:c>
      <x:c r="D128" s="49" t="n">
        <x:v>0.8482895389191869</x:v>
      </x:c>
      <x:c r="E128" s="51" t="n">
        <x:v>0.7286027798098025</x:v>
      </x:c>
      <x:c r="F128" s="51" t="n">
        <x:f>AVERAGE(C128:E128)</x:f>
        <x:v>0.8264415714783092</x:v>
      </x:c>
      <x:c r="G128" s="33"/>
      <x:c r="H128" s="33"/>
      <x:c r="I128" s="33"/>
      <x:c r="J128" s="33"/>
      <x:c r="K128" s="33"/>
      <x:c r="L128" s="33"/>
    </x:row>
    <x:row r="129" ht="24" customHeight="1">
      <x:c r="A129" s="33"/>
      <x:c r="B129" s="47" t="str">
        <x:v>typesafe/jev-1.13</x:v>
      </x:c>
      <x:c r="C129" s="52" t="n">
        <x:v>0.9066449245821444</x:v>
      </x:c>
      <x:c r="D129" s="50" t="n">
        <x:v>0.9531482399603372</x:v>
      </x:c>
      <x:c r="E129" s="52" t="n">
        <x:v>0.5976591075347476</x:v>
      </x:c>
      <x:c r="F129" s="52" t="n">
        <x:f>AVERAGE(C129:E129)</x:f>
        <x:v>0.8191507573590764</x:v>
      </x:c>
      <x:c r="G129" s="33"/>
      <x:c r="H129" s="33"/>
      <x:c r="I129" s="33"/>
      <x:c r="J129" s="33"/>
      <x:c r="K129" s="33"/>
      <x:c r="L129" s="33"/>
    </x:row>
    <x:row r="130" ht="24" customHeight="1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</x:row>
    <x:row r="131" ht="24" customHeight="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</x:row>
    <x:row r="132" ht="29" customHeight="1">
      <x:c r="A132" s="33"/>
      <x:c r="B132" s="36" t="str">
        <x:v>TABLE 13.</x:v>
      </x:c>
      <x:c r="C132" s="37" t="str">
        <x:v>Sentiment classification F1.</x:v>
      </x:c>
      <x:c r="D132" s="37"/>
      <x:c r="E132" s="37"/>
      <x:c r="F132" s="37"/>
      <x:c r="G132" s="33"/>
      <x:c r="H132" s="33"/>
      <x:c r="I132" s="33"/>
      <x:c r="J132" s="33"/>
      <x:c r="K132" s="33"/>
      <x:c r="L132" s="33"/>
    </x:row>
    <x:row r="133" ht="21" customHeight="1">
      <x:c r="A133" s="33"/>
      <x:c r="B133" s="38" t="str">
        <x:v>Indonesian: sentiment, n = 12,760</x:v>
      </x:c>
      <x:c r="C133" s="38"/>
      <x:c r="D133" s="38"/>
      <x:c r="E133" s="38"/>
      <x:c r="F133" s="38"/>
      <x:c r="G133" s="33"/>
      <x:c r="H133" s="33"/>
      <x:c r="I133" s="33"/>
      <x:c r="J133" s="33"/>
      <x:c r="K133" s="33"/>
      <x:c r="L133" s="33"/>
    </x:row>
    <x:row r="134" ht="9" customHeight="1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</x:row>
    <x:row r="135" ht="42" customHeight="1">
      <x:c r="A135" s="33"/>
      <x:c r="B135" s="43" t="str">
        <x:v>Model</x:v>
      </x:c>
      <x:c r="C135" s="42" t="str">
        <x:v>positive</x:v>
      </x:c>
      <x:c r="D135" s="42" t="str">
        <x:v>negative</x:v>
      </x:c>
      <x:c r="E135" s="42" t="str">
        <x:v>neutral</x:v>
      </x:c>
      <x:c r="F135" s="42" t="str">
        <x:v>Macro-F1</x:v>
      </x:c>
      <x:c r="G135" s="33"/>
      <x:c r="H135" s="33"/>
      <x:c r="I135" s="33"/>
      <x:c r="J135" s="33"/>
      <x:c r="K135" s="33"/>
      <x:c r="L135" s="33"/>
    </x:row>
    <x:row r="136" ht="24" customHeight="1">
      <x:c r="A136" s="33"/>
      <x:c r="B136" s="44" t="str">
        <x:v>nimble:9b</x:v>
      </x:c>
      <x:c r="C136" s="51" t="n">
        <x:v>0.929957920456088</x:v>
      </x:c>
      <x:c r="D136" s="49" t="n">
        <x:v>0.8908011150163616</x:v>
      </x:c>
      <x:c r="E136" s="49" t="n">
        <x:v>0.6264299802761342</x:v>
      </x:c>
      <x:c r="F136" s="49" t="n">
        <x:f>AVERAGE(C136:E136)</x:f>
        <x:v>0.8157296719161945</x:v>
      </x:c>
      <x:c r="G136" s="33"/>
      <x:c r="H136" s="33"/>
      <x:c r="I136" s="33"/>
      <x:c r="J136" s="33"/>
      <x:c r="K136" s="33"/>
      <x:c r="L136" s="33"/>
    </x:row>
    <x:row r="137" ht="24" customHeight="1">
      <x:c r="A137" s="33"/>
      <x:c r="B137" s="44" t="str">
        <x:v>tev1:0.8b</x:v>
      </x:c>
      <x:c r="C137" s="49" t="n">
        <x:v>0.8757689316269532</x:v>
      </x:c>
      <x:c r="D137" s="49" t="n">
        <x:v>0.8177017852652754</x:v>
      </x:c>
      <x:c r="E137" s="49" t="n">
        <x:v>0.3867952088810985</x:v>
      </x:c>
      <x:c r="F137" s="49" t="n">
        <x:f>AVERAGE(C137:E137)</x:f>
        <x:v>0.6934219752577757</x:v>
      </x:c>
      <x:c r="G137" s="33"/>
      <x:c r="H137" s="33"/>
      <x:c r="I137" s="33"/>
      <x:c r="J137" s="33"/>
      <x:c r="K137" s="33"/>
      <x:c r="L137" s="33"/>
    </x:row>
    <x:row r="138" ht="24" customHeight="1">
      <x:c r="A138" s="33"/>
      <x:c r="B138" s="44" t="str">
        <x:v>tev1:4b</x:v>
      </x:c>
      <x:c r="C138" s="49" t="n">
        <x:v>0.9251236330709758</x:v>
      </x:c>
      <x:c r="D138" s="49" t="n">
        <x:v>0.8809370575363624</x:v>
      </x:c>
      <x:c r="E138" s="49" t="n">
        <x:v>0.5869180907483795</x:v>
      </x:c>
      <x:c r="F138" s="49" t="n">
        <x:f>AVERAGE(C138:E138)</x:f>
        <x:v>0.7976595937852392</x:v>
      </x:c>
      <x:c r="G138" s="33"/>
      <x:c r="H138" s="33"/>
      <x:c r="I138" s="33"/>
      <x:c r="J138" s="33"/>
      <x:c r="K138" s="33"/>
      <x:c r="L138" s="33"/>
    </x:row>
    <x:row r="139" ht="24" customHeight="1">
      <x:c r="A139" s="33"/>
      <x:c r="B139" s="47" t="str">
        <x:v>typesafe/jev-1.13</x:v>
      </x:c>
      <x:c r="C139" s="52" t="n">
        <x:v>0.9286012526096034</x:v>
      </x:c>
      <x:c r="D139" s="50" t="n">
        <x:v>0.8985744332788035</x:v>
      </x:c>
      <x:c r="E139" s="50" t="n">
        <x:v>0.6304012345679012</x:v>
      </x:c>
      <x:c r="F139" s="50" t="n">
        <x:f>AVERAGE(C139:E139)</x:f>
        <x:v>0.8191923068187693</x:v>
      </x:c>
      <x:c r="G139" s="33"/>
      <x:c r="H139" s="33"/>
      <x:c r="I139" s="33"/>
      <x:c r="J139" s="33"/>
      <x:c r="K139" s="33"/>
      <x:c r="L139" s="33"/>
    </x:row>
    <x:row r="140" ht="24" customHeight="1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</x:row>
    <x:row r="141" ht="24" customHeight="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</x:row>
    <x:row r="142" ht="29" customHeight="1">
      <x:c r="A142" s="33"/>
      <x:c r="B142" s="36" t="str">
        <x:v>TABLE 14.</x:v>
      </x:c>
      <x:c r="C142" s="37" t="str">
        <x:v>Sentiment classification support.</x:v>
      </x:c>
      <x:c r="D142" s="37"/>
      <x:c r="E142" s="37"/>
      <x:c r="F142" s="37"/>
      <x:c r="G142" s="33"/>
      <x:c r="H142" s="33"/>
      <x:c r="I142" s="33"/>
      <x:c r="J142" s="33"/>
      <x:c r="K142" s="33"/>
      <x:c r="L142" s="33"/>
    </x:row>
    <x:row r="143" ht="21" customHeight="1">
      <x:c r="A143" s="33"/>
      <x:c r="B143" s="38" t="str">
        <x:v>Indonesian: sentiment, n = 12,760</x:v>
      </x:c>
      <x:c r="C143" s="38"/>
      <x:c r="D143" s="38"/>
      <x:c r="E143" s="38"/>
      <x:c r="F143" s="38"/>
      <x:c r="G143" s="33"/>
      <x:c r="H143" s="33"/>
      <x:c r="I143" s="33"/>
      <x:c r="J143" s="33"/>
      <x:c r="K143" s="33"/>
      <x:c r="L143" s="33"/>
    </x:row>
    <x:row r="144" ht="9" customHeight="1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</x:row>
    <x:row r="145" ht="42" customHeight="1">
      <x:c r="A145" s="33"/>
      <x:c r="B145" s="43" t="str">
        <x:v>Model</x:v>
      </x:c>
      <x:c r="C145" s="42" t="str">
        <x:v>positive</x:v>
      </x:c>
      <x:c r="D145" s="42" t="str">
        <x:v>negative</x:v>
      </x:c>
      <x:c r="E145" s="42" t="str">
        <x:v>neutral</x:v>
      </x:c>
      <x:c r="F145" s="42" t="str">
        <x:v>Total</x:v>
      </x:c>
      <x:c r="G145" s="33"/>
      <x:c r="H145" s="33"/>
      <x:c r="I145" s="33"/>
      <x:c r="J145" s="33"/>
      <x:c r="K145" s="33"/>
      <x:c r="L145" s="33"/>
    </x:row>
    <x:row r="146" ht="24" customHeight="1">
      <x:c r="A146" s="33"/>
      <x:c r="B146" s="44" t="str">
        <x:v>nimble:9b</x:v>
      </x:c>
      <x:c r="C146" s="53" t="n">
        <x:v>7359</x:v>
      </x:c>
      <x:c r="D146" s="53" t="n">
        <x:v>4034</x:v>
      </x:c>
      <x:c r="E146" s="53" t="n">
        <x:v>1367</x:v>
      </x:c>
      <x:c r="F146" s="53" t="n">
        <x:f>SUM(C146:E146)</x:f>
        <x:v>12760</x:v>
      </x:c>
      <x:c r="G146" s="33"/>
      <x:c r="H146" s="33"/>
      <x:c r="I146" s="33"/>
      <x:c r="J146" s="33"/>
      <x:c r="K146" s="33"/>
      <x:c r="L146" s="33"/>
    </x:row>
    <x:row r="147" ht="24" customHeight="1">
      <x:c r="A147" s="33"/>
      <x:c r="B147" s="44" t="str">
        <x:v>tev1:0.8b</x:v>
      </x:c>
      <x:c r="C147" s="53" t="n">
        <x:v>7359</x:v>
      </x:c>
      <x:c r="D147" s="53" t="n">
        <x:v>4034</x:v>
      </x:c>
      <x:c r="E147" s="53" t="n">
        <x:v>1367</x:v>
      </x:c>
      <x:c r="F147" s="53" t="n">
        <x:f>SUM(C147:E147)</x:f>
        <x:v>12760</x:v>
      </x:c>
      <x:c r="G147" s="33"/>
      <x:c r="H147" s="33"/>
      <x:c r="I147" s="33"/>
      <x:c r="J147" s="33"/>
      <x:c r="K147" s="33"/>
      <x:c r="L147" s="33"/>
    </x:row>
    <x:row r="148" ht="24" customHeight="1">
      <x:c r="A148" s="33"/>
      <x:c r="B148" s="44" t="str">
        <x:v>tev1:4b</x:v>
      </x:c>
      <x:c r="C148" s="53" t="n">
        <x:v>7359</x:v>
      </x:c>
      <x:c r="D148" s="53" t="n">
        <x:v>4034</x:v>
      </x:c>
      <x:c r="E148" s="53" t="n">
        <x:v>1367</x:v>
      </x:c>
      <x:c r="F148" s="53" t="n">
        <x:f>SUM(C148:E148)</x:f>
        <x:v>12760</x:v>
      </x:c>
      <x:c r="G148" s="33"/>
      <x:c r="H148" s="33"/>
      <x:c r="I148" s="33"/>
      <x:c r="J148" s="33"/>
      <x:c r="K148" s="33"/>
      <x:c r="L148" s="33"/>
    </x:row>
    <x:row r="149" ht="24" customHeight="1">
      <x:c r="A149" s="33"/>
      <x:c r="B149" s="47" t="str">
        <x:v>typesafe/jev-1.13</x:v>
      </x:c>
      <x:c r="C149" s="54" t="n">
        <x:v>7359</x:v>
      </x:c>
      <x:c r="D149" s="54" t="n">
        <x:v>4034</x:v>
      </x:c>
      <x:c r="E149" s="54" t="n">
        <x:v>1367</x:v>
      </x:c>
      <x:c r="F149" s="54" t="n">
        <x:f>SUM(C149:E149)</x:f>
        <x:v>12760</x:v>
      </x:c>
      <x:c r="G149" s="33"/>
      <x:c r="H149" s="33"/>
      <x:c r="I149" s="33"/>
      <x:c r="J149" s="33"/>
      <x:c r="K149" s="33"/>
      <x:c r="L149" s="33"/>
    </x:row>
    <x:row r="150" ht="24" customHeight="1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</x:row>
    <x:row r="151" ht="24" customHeight="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</x:row>
    <x:row r="152" ht="29" customHeight="1">
      <x:c r="A152" s="33"/>
      <x:c r="B152" s="36" t="str">
        <x:v>TABLE 15.</x:v>
      </x:c>
      <x:c r="C152" s="37" t="str">
        <x:v>Emotion classification precision.</x:v>
      </x:c>
      <x:c r="D152" s="37"/>
      <x:c r="E152" s="37"/>
      <x:c r="F152" s="37"/>
      <x:c r="G152" s="37"/>
      <x:c r="H152" s="37"/>
      <x:c r="I152" s="33"/>
      <x:c r="J152" s="33"/>
      <x:c r="K152" s="33"/>
      <x:c r="L152" s="33"/>
    </x:row>
    <x:row r="153" ht="21" customHeight="1">
      <x:c r="A153" s="33"/>
      <x:c r="B153" s="38" t="str">
        <x:v>Indonesian: emotion, n = 4,403</x:v>
      </x:c>
      <x:c r="C153" s="38"/>
      <x:c r="D153" s="38"/>
      <x:c r="E153" s="38"/>
      <x:c r="F153" s="38"/>
      <x:c r="G153" s="38"/>
      <x:c r="H153" s="38"/>
      <x:c r="I153" s="33"/>
      <x:c r="J153" s="33"/>
      <x:c r="K153" s="33"/>
      <x:c r="L153" s="33"/>
    </x:row>
    <x:row r="154" ht="9" customHeight="1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</x:row>
    <x:row r="155" ht="42" customHeight="1">
      <x:c r="A155" s="33"/>
      <x:c r="B155" s="43" t="str">
        <x:v>Model</x:v>
      </x:c>
      <x:c r="C155" s="42" t="str">
        <x:v>anger</x:v>
      </x:c>
      <x:c r="D155" s="42" t="str">
        <x:v>fear</x:v>
      </x:c>
      <x:c r="E155" s="42" t="str">
        <x:v>happy</x:v>
      </x:c>
      <x:c r="F155" s="42" t="str">
        <x:v>love</x:v>
      </x:c>
      <x:c r="G155" s="42" t="str">
        <x:v>sadness</x:v>
      </x:c>
      <x:c r="H155" s="42" t="str">
        <x:v>Macro-
Precision</x:v>
      </x:c>
      <x:c r="I155" s="33"/>
      <x:c r="J155" s="33"/>
      <x:c r="K155" s="33"/>
      <x:c r="L155" s="33"/>
    </x:row>
    <x:row r="156" ht="24" customHeight="1">
      <x:c r="A156" s="33"/>
      <x:c r="B156" s="44" t="str">
        <x:v>nimble:9b</x:v>
      </x:c>
      <x:c r="C156" s="49" t="n">
        <x:v>0.6794961511546536</x:v>
      </x:c>
      <x:c r="D156" s="49" t="n">
        <x:v>0.8226351351351351</x:v>
      </x:c>
      <x:c r="E156" s="49" t="n">
        <x:v>0.781496062992126</x:v>
      </x:c>
      <x:c r="F156" s="49" t="n">
        <x:v>0.664367816091954</x:v>
      </x:c>
      <x:c r="G156" s="51" t="n">
        <x:v>0.8225806451612904</x:v>
      </x:c>
      <x:c r="H156" s="49" t="n">
        <x:f>AVERAGE(C156:G156)</x:f>
        <x:v>0.7541151621070318</x:v>
      </x:c>
      <x:c r="I156" s="33"/>
      <x:c r="J156" s="33"/>
      <x:c r="K156" s="33"/>
      <x:c r="L156" s="33"/>
    </x:row>
    <x:row r="157" ht="24" customHeight="1">
      <x:c r="A157" s="33"/>
      <x:c r="B157" s="44" t="str">
        <x:v>tev1:0.8b</x:v>
      </x:c>
      <x:c r="C157" s="49" t="n">
        <x:v>0.4900864260294865</x:v>
      </x:c>
      <x:c r="D157" s="49" t="n">
        <x:v>0.8311345646437994</x:v>
      </x:c>
      <x:c r="E157" s="49" t="n">
        <x:v>0.7150776053215078</x:v>
      </x:c>
      <x:c r="F157" s="49" t="n">
        <x:v>0.6428571428571429</x:v>
      </x:c>
      <x:c r="G157" s="49" t="n">
        <x:v>0.6974789915966386</x:v>
      </x:c>
      <x:c r="H157" s="49" t="n">
        <x:f>AVERAGE(C157:G157)</x:f>
        <x:v>0.6753269460897149</x:v>
      </x:c>
      <x:c r="I157" s="33"/>
      <x:c r="J157" s="33"/>
      <x:c r="K157" s="33"/>
      <x:c r="L157" s="33"/>
    </x:row>
    <x:row r="158" ht="24" customHeight="1">
      <x:c r="A158" s="33"/>
      <x:c r="B158" s="44" t="str">
        <x:v>tev1:4b</x:v>
      </x:c>
      <x:c r="C158" s="49" t="n">
        <x:v>0.6494512588766946</x:v>
      </x:c>
      <x:c r="D158" s="51" t="n">
        <x:v>0.8404452690166976</x:v>
      </x:c>
      <x:c r="E158" s="49" t="n">
        <x:v>0.8189473684210526</x:v>
      </x:c>
      <x:c r="F158" s="51" t="n">
        <x:v>0.7303225806451613</x:v>
      </x:c>
      <x:c r="G158" s="49" t="n">
        <x:v>0.7491525423728813</x:v>
      </x:c>
      <x:c r="H158" s="49" t="n">
        <x:f>AVERAGE(C158:G158)</x:f>
        <x:v>0.7576638038664976</x:v>
      </x:c>
      <x:c r="I158" s="33"/>
      <x:c r="J158" s="33"/>
      <x:c r="K158" s="33"/>
      <x:c r="L158" s="33"/>
    </x:row>
    <x:row r="159" ht="24" customHeight="1">
      <x:c r="A159" s="33"/>
      <x:c r="B159" s="47" t="str">
        <x:v>typesafe/jev-1.13</x:v>
      </x:c>
      <x:c r="C159" s="50" t="n">
        <x:v>0.7494407158836689</x:v>
      </x:c>
      <x:c r="D159" s="52" t="n">
        <x:v>0.7913561847988078</x:v>
      </x:c>
      <x:c r="E159" s="50" t="n">
        <x:v>0.8581314878892734</x:v>
      </x:c>
      <x:c r="F159" s="52" t="n">
        <x:v>0.7017751479289941</x:v>
      </x:c>
      <x:c r="G159" s="52" t="n">
        <x:v>0.8203240058910162</x:v>
      </x:c>
      <x:c r="H159" s="50" t="n">
        <x:f>AVERAGE(C159:G159)</x:f>
        <x:v>0.7842055084783521</x:v>
      </x:c>
      <x:c r="I159" s="33"/>
      <x:c r="J159" s="33"/>
      <x:c r="K159" s="33"/>
      <x:c r="L159" s="33"/>
    </x:row>
    <x:row r="160" ht="24" customHeight="1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</x:row>
    <x:row r="161" ht="24" customHeight="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</x:row>
    <x:row r="162" ht="29" customHeight="1">
      <x:c r="A162" s="33"/>
      <x:c r="B162" s="36" t="str">
        <x:v>TABLE 16.</x:v>
      </x:c>
      <x:c r="C162" s="37" t="str">
        <x:v>Emotion classification recall.</x:v>
      </x:c>
      <x:c r="D162" s="37"/>
      <x:c r="E162" s="37"/>
      <x:c r="F162" s="37"/>
      <x:c r="G162" s="37"/>
      <x:c r="H162" s="37"/>
      <x:c r="I162" s="33"/>
      <x:c r="J162" s="33"/>
      <x:c r="K162" s="33"/>
      <x:c r="L162" s="33"/>
    </x:row>
    <x:row r="163" ht="21" customHeight="1">
      <x:c r="A163" s="33"/>
      <x:c r="B163" s="38" t="str">
        <x:v>Indonesian: emotion, n = 4,403</x:v>
      </x:c>
      <x:c r="C163" s="38"/>
      <x:c r="D163" s="38"/>
      <x:c r="E163" s="38"/>
      <x:c r="F163" s="38"/>
      <x:c r="G163" s="38"/>
      <x:c r="H163" s="38"/>
      <x:c r="I163" s="33"/>
      <x:c r="J163" s="33"/>
      <x:c r="K163" s="33"/>
      <x:c r="L163" s="33"/>
    </x:row>
    <x:row r="164" ht="9" customHeight="1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</x:row>
    <x:row r="165" ht="42" customHeight="1">
      <x:c r="A165" s="33"/>
      <x:c r="B165" s="43" t="str">
        <x:v>Model</x:v>
      </x:c>
      <x:c r="C165" s="42" t="str">
        <x:v>anger</x:v>
      </x:c>
      <x:c r="D165" s="42" t="str">
        <x:v>fear</x:v>
      </x:c>
      <x:c r="E165" s="42" t="str">
        <x:v>happy</x:v>
      </x:c>
      <x:c r="F165" s="42" t="str">
        <x:v>love</x:v>
      </x:c>
      <x:c r="G165" s="42" t="str">
        <x:v>sadness</x:v>
      </x:c>
      <x:c r="H165" s="42" t="str">
        <x:v>Macro-
Recall</x:v>
      </x:c>
      <x:c r="I165" s="33"/>
      <x:c r="J165" s="33"/>
      <x:c r="K165" s="33"/>
      <x:c r="L165" s="33"/>
    </x:row>
    <x:row r="166" ht="24" customHeight="1">
      <x:c r="A166" s="33"/>
      <x:c r="B166" s="44" t="str">
        <x:v>nimble:9b</x:v>
      </x:c>
      <x:c r="C166" s="49" t="n">
        <x:v>0.8811252268602541</x:v>
      </x:c>
      <x:c r="D166" s="49" t="n">
        <x:v>0.7503852080123267</x:v>
      </x:c>
      <x:c r="E166" s="51" t="n">
        <x:v>0.7807276302851525</x:v>
      </x:c>
      <x:c r="F166" s="49" t="n">
        <x:v>0.9073783359497644</x:v>
      </x:c>
      <x:c r="G166" s="49" t="n">
        <x:v>0.4088176352705411</x:v>
      </x:c>
      <x:c r="H166" s="49" t="n">
        <x:f>AVERAGE(C166:G166)</x:f>
        <x:v>0.7456868072756077</x:v>
      </x:c>
      <x:c r="I166" s="33"/>
      <x:c r="J166" s="33"/>
      <x:c r="K166" s="33"/>
      <x:c r="L166" s="33"/>
    </x:row>
    <x:row r="167" ht="24" customHeight="1">
      <x:c r="A167" s="33"/>
      <x:c r="B167" s="44" t="str">
        <x:v>tev1:0.8b</x:v>
      </x:c>
      <x:c r="C167" s="49" t="n">
        <x:v>0.8747731397459165</x:v>
      </x:c>
      <x:c r="D167" s="49" t="n">
        <x:v>0.485362095531587</x:v>
      </x:c>
      <x:c r="E167" s="49" t="n">
        <x:v>0.6342182890855457</x:v>
      </x:c>
      <x:c r="F167" s="49" t="n">
        <x:v>0.8053375196232339</x:v>
      </x:c>
      <x:c r="G167" s="49" t="n">
        <x:v>0.2494989979959919</x:v>
      </x:c>
      <x:c r="H167" s="49" t="n">
        <x:f>AVERAGE(C167:G167)</x:f>
        <x:v>0.6098380083964551</x:v>
      </x:c>
      <x:c r="I167" s="33"/>
      <x:c r="J167" s="33"/>
      <x:c r="K167" s="33"/>
      <x:c r="L167" s="33"/>
    </x:row>
    <x:row r="168" ht="24" customHeight="1">
      <x:c r="A168" s="33"/>
      <x:c r="B168" s="44" t="str">
        <x:v>tev1:4b</x:v>
      </x:c>
      <x:c r="C168" s="51" t="n">
        <x:v>0.912885662431942</x:v>
      </x:c>
      <x:c r="D168" s="49" t="n">
        <x:v>0.6979969183359014</x:v>
      </x:c>
      <x:c r="E168" s="49" t="n">
        <x:v>0.7649950835791544</x:v>
      </x:c>
      <x:c r="F168" s="49" t="n">
        <x:v>0.8885400313971743</x:v>
      </x:c>
      <x:c r="G168" s="49" t="n">
        <x:v>0.4428857715430861</x:v>
      </x:c>
      <x:c r="H168" s="49" t="n">
        <x:f>AVERAGE(C168:G168)</x:f>
        <x:v>0.7414606934574517</x:v>
      </x:c>
      <x:c r="I168" s="33"/>
      <x:c r="J168" s="33"/>
      <x:c r="K168" s="33"/>
      <x:c r="L168" s="33"/>
    </x:row>
    <x:row r="169" ht="24" customHeight="1">
      <x:c r="A169" s="33"/>
      <x:c r="B169" s="47" t="str">
        <x:v>typesafe/jev-1.13</x:v>
      </x:c>
      <x:c r="C169" s="52" t="n">
        <x:v>0.911978221415608</x:v>
      </x:c>
      <x:c r="D169" s="50" t="n">
        <x:v>0.8181818181818182</x:v>
      </x:c>
      <x:c r="E169" s="52" t="n">
        <x:v>0.7315634218289085</x:v>
      </x:c>
      <x:c r="F169" s="50" t="n">
        <x:v>0.9309262166405023</x:v>
      </x:c>
      <x:c r="G169" s="50" t="n">
        <x:v>0.5581162324649298</x:v>
      </x:c>
      <x:c r="H169" s="50" t="n">
        <x:f>AVERAGE(C169:G169)</x:f>
        <x:v>0.7901531821063534</x:v>
      </x:c>
      <x:c r="I169" s="33"/>
      <x:c r="J169" s="33"/>
      <x:c r="K169" s="33"/>
      <x:c r="L169" s="33"/>
    </x:row>
    <x:row r="170" ht="24" customHeight="1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</x:row>
    <x:row r="171" ht="24" customHeight="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</x:row>
    <x:row r="172" ht="29" customHeight="1">
      <x:c r="A172" s="33"/>
      <x:c r="B172" s="36" t="str">
        <x:v>TABLE 17.</x:v>
      </x:c>
      <x:c r="C172" s="37" t="str">
        <x:v>Emotion classification F1.</x:v>
      </x:c>
      <x:c r="D172" s="37"/>
      <x:c r="E172" s="37"/>
      <x:c r="F172" s="37"/>
      <x:c r="G172" s="37"/>
      <x:c r="H172" s="37"/>
      <x:c r="I172" s="33"/>
      <x:c r="J172" s="33"/>
      <x:c r="K172" s="33"/>
      <x:c r="L172" s="33"/>
    </x:row>
    <x:row r="173" ht="21" customHeight="1">
      <x:c r="A173" s="33"/>
      <x:c r="B173" s="38" t="str">
        <x:v>Indonesian: emotion, n = 4,403</x:v>
      </x:c>
      <x:c r="C173" s="38"/>
      <x:c r="D173" s="38"/>
      <x:c r="E173" s="38"/>
      <x:c r="F173" s="38"/>
      <x:c r="G173" s="38"/>
      <x:c r="H173" s="38"/>
      <x:c r="I173" s="33"/>
      <x:c r="J173" s="33"/>
      <x:c r="K173" s="33"/>
      <x:c r="L173" s="33"/>
    </x:row>
    <x:row r="174" ht="9" customHeight="1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</x:row>
    <x:row r="175" ht="42" customHeight="1">
      <x:c r="A175" s="33"/>
      <x:c r="B175" s="43" t="str">
        <x:v>Model</x:v>
      </x:c>
      <x:c r="C175" s="42" t="str">
        <x:v>anger</x:v>
      </x:c>
      <x:c r="D175" s="42" t="str">
        <x:v>fear</x:v>
      </x:c>
      <x:c r="E175" s="42" t="str">
        <x:v>happy</x:v>
      </x:c>
      <x:c r="F175" s="42" t="str">
        <x:v>love</x:v>
      </x:c>
      <x:c r="G175" s="42" t="str">
        <x:v>sadness</x:v>
      </x:c>
      <x:c r="H175" s="42" t="str">
        <x:v>Macro-F1</x:v>
      </x:c>
      <x:c r="I175" s="33"/>
      <x:c r="J175" s="33"/>
      <x:c r="K175" s="33"/>
      <x:c r="L175" s="33"/>
    </x:row>
    <x:row r="176" ht="24" customHeight="1">
      <x:c r="A176" s="33"/>
      <x:c r="B176" s="44" t="str">
        <x:v>nimble:9b</x:v>
      </x:c>
      <x:c r="C176" s="49" t="n">
        <x:v>0.7672856578427499</x:v>
      </x:c>
      <x:c r="D176" s="49" t="n">
        <x:v>0.7848509266720387</x:v>
      </x:c>
      <x:c r="E176" s="49" t="n">
        <x:v>0.7811116576487949</x:v>
      </x:c>
      <x:c r="F176" s="49" t="n">
        <x:v>0.7670869276708693</x:v>
      </x:c>
      <x:c r="G176" s="49" t="n">
        <x:v>0.5461847389558233</x:v>
      </x:c>
      <x:c r="H176" s="49" t="n">
        <x:f>AVERAGE(C176:G176)</x:f>
        <x:v>0.7293039817580553</x:v>
      </x:c>
      <x:c r="I176" s="33"/>
      <x:c r="J176" s="33"/>
      <x:c r="K176" s="33"/>
      <x:c r="L176" s="33"/>
    </x:row>
    <x:row r="177" ht="24" customHeight="1">
      <x:c r="A177" s="33"/>
      <x:c r="B177" s="44" t="str">
        <x:v>tev1:0.8b</x:v>
      </x:c>
      <x:c r="C177" s="49" t="n">
        <x:v>0.628217660475725</x:v>
      </x:c>
      <x:c r="D177" s="49" t="n">
        <x:v>0.6128404669260701</x:v>
      </x:c>
      <x:c r="E177" s="49" t="n">
        <x:v>0.6722251172485669</x:v>
      </x:c>
      <x:c r="F177" s="49" t="n">
        <x:v>0.7149825783972126</x:v>
      </x:c>
      <x:c r="G177" s="49" t="n">
        <x:v>0.3675276752767528</x:v>
      </x:c>
      <x:c r="H177" s="49" t="n">
        <x:f>AVERAGE(C177:G177)</x:f>
        <x:v>0.5991586996648655</x:v>
      </x:c>
      <x:c r="I177" s="33"/>
      <x:c r="J177" s="33"/>
      <x:c r="K177" s="33"/>
      <x:c r="L177" s="33"/>
    </x:row>
    <x:row r="178" ht="24" customHeight="1">
      <x:c r="A178" s="33"/>
      <x:c r="B178" s="44" t="str">
        <x:v>tev1:4b</x:v>
      </x:c>
      <x:c r="C178" s="49" t="n">
        <x:v>0.7589588834402112</x:v>
      </x:c>
      <x:c r="D178" s="49" t="n">
        <x:v>0.7626262626262627</x:v>
      </x:c>
      <x:c r="E178" s="51" t="n">
        <x:v>0.7910523640061007</x:v>
      </x:c>
      <x:c r="F178" s="51" t="n">
        <x:v>0.8016997167138811</x:v>
      </x:c>
      <x:c r="G178" s="49" t="n">
        <x:v>0.5566750629722922</x:v>
      </x:c>
      <x:c r="H178" s="49" t="n">
        <x:f>AVERAGE(C178:G178)</x:f>
        <x:v>0.7342024579517497</x:v>
      </x:c>
      <x:c r="I178" s="33"/>
      <x:c r="J178" s="33"/>
      <x:c r="K178" s="33"/>
      <x:c r="L178" s="33"/>
    </x:row>
    <x:row r="179" ht="24" customHeight="1">
      <x:c r="A179" s="33"/>
      <x:c r="B179" s="47" t="str">
        <x:v>typesafe/jev-1.13</x:v>
      </x:c>
      <x:c r="C179" s="50" t="n">
        <x:v>0.8227589029881294</x:v>
      </x:c>
      <x:c r="D179" s="50" t="n">
        <x:v>0.8045454545454546</x:v>
      </x:c>
      <x:c r="E179" s="52" t="n">
        <x:v>0.7898089171974523</x:v>
      </x:c>
      <x:c r="F179" s="52" t="n">
        <x:v>0.8002699055330634</x:v>
      </x:c>
      <x:c r="G179" s="50" t="n">
        <x:v>0.6642814549791294</x:v>
      </x:c>
      <x:c r="H179" s="50" t="n">
        <x:f>AVERAGE(C179:G179)</x:f>
        <x:v>0.7763329270486458</x:v>
      </x:c>
      <x:c r="I179" s="33"/>
      <x:c r="J179" s="33"/>
      <x:c r="K179" s="33"/>
      <x:c r="L179" s="33"/>
    </x:row>
    <x:row r="180" ht="24" customHeight="1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</x:row>
    <x:row r="181" ht="24" customHeight="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</x:row>
    <x:row r="182" ht="29" customHeight="1">
      <x:c r="A182" s="33"/>
      <x:c r="B182" s="36" t="str">
        <x:v>TABLE 18.</x:v>
      </x:c>
      <x:c r="C182" s="37" t="str">
        <x:v>Emotion classification support.</x:v>
      </x:c>
      <x:c r="D182" s="37"/>
      <x:c r="E182" s="37"/>
      <x:c r="F182" s="37"/>
      <x:c r="G182" s="37"/>
      <x:c r="H182" s="37"/>
      <x:c r="I182" s="33"/>
      <x:c r="J182" s="33"/>
      <x:c r="K182" s="33"/>
      <x:c r="L182" s="33"/>
    </x:row>
    <x:row r="183" ht="21" customHeight="1">
      <x:c r="A183" s="33"/>
      <x:c r="B183" s="38" t="str">
        <x:v>Indonesian: emotion, n = 4,403</x:v>
      </x:c>
      <x:c r="C183" s="38"/>
      <x:c r="D183" s="38"/>
      <x:c r="E183" s="38"/>
      <x:c r="F183" s="38"/>
      <x:c r="G183" s="38"/>
      <x:c r="H183" s="38"/>
      <x:c r="I183" s="33"/>
      <x:c r="J183" s="33"/>
      <x:c r="K183" s="33"/>
      <x:c r="L183" s="33"/>
    </x:row>
    <x:row r="184" ht="9" customHeight="1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</x:row>
    <x:row r="185" ht="42" customHeight="1">
      <x:c r="A185" s="33"/>
      <x:c r="B185" s="43" t="str">
        <x:v>Model</x:v>
      </x:c>
      <x:c r="C185" s="42" t="str">
        <x:v>anger</x:v>
      </x:c>
      <x:c r="D185" s="42" t="str">
        <x:v>fear</x:v>
      </x:c>
      <x:c r="E185" s="42" t="str">
        <x:v>happy</x:v>
      </x:c>
      <x:c r="F185" s="42" t="str">
        <x:v>love</x:v>
      </x:c>
      <x:c r="G185" s="42" t="str">
        <x:v>sadness</x:v>
      </x:c>
      <x:c r="H185" s="42" t="str">
        <x:v>Total</x:v>
      </x:c>
      <x:c r="I185" s="33"/>
      <x:c r="J185" s="33"/>
      <x:c r="K185" s="33"/>
      <x:c r="L185" s="33"/>
    </x:row>
    <x:row r="186" ht="24" customHeight="1">
      <x:c r="A186" s="33"/>
      <x:c r="B186" s="44" t="str">
        <x:v>nimble:9b</x:v>
      </x:c>
      <x:c r="C186" s="53" t="n">
        <x:v>1102</x:v>
      </x:c>
      <x:c r="D186" s="53" t="n">
        <x:v>649</x:v>
      </x:c>
      <x:c r="E186" s="53" t="n">
        <x:v>1017</x:v>
      </x:c>
      <x:c r="F186" s="53" t="n">
        <x:v>637</x:v>
      </x:c>
      <x:c r="G186" s="53" t="n">
        <x:v>998</x:v>
      </x:c>
      <x:c r="H186" s="53" t="n">
        <x:f>SUM(C186:G186)</x:f>
        <x:v>4403</x:v>
      </x:c>
      <x:c r="I186" s="33"/>
      <x:c r="J186" s="33"/>
      <x:c r="K186" s="33"/>
      <x:c r="L186" s="33"/>
    </x:row>
    <x:row r="187" ht="24" customHeight="1">
      <x:c r="A187" s="33"/>
      <x:c r="B187" s="44" t="str">
        <x:v>tev1:0.8b</x:v>
      </x:c>
      <x:c r="C187" s="53" t="n">
        <x:v>1102</x:v>
      </x:c>
      <x:c r="D187" s="53" t="n">
        <x:v>649</x:v>
      </x:c>
      <x:c r="E187" s="53" t="n">
        <x:v>1017</x:v>
      </x:c>
      <x:c r="F187" s="53" t="n">
        <x:v>637</x:v>
      </x:c>
      <x:c r="G187" s="53" t="n">
        <x:v>998</x:v>
      </x:c>
      <x:c r="H187" s="53" t="n">
        <x:f>SUM(C187:G187)</x:f>
        <x:v>4403</x:v>
      </x:c>
      <x:c r="I187" s="33"/>
      <x:c r="J187" s="33"/>
      <x:c r="K187" s="33"/>
      <x:c r="L187" s="33"/>
    </x:row>
    <x:row r="188" ht="24" customHeight="1">
      <x:c r="A188" s="33"/>
      <x:c r="B188" s="44" t="str">
        <x:v>tev1:4b</x:v>
      </x:c>
      <x:c r="C188" s="53" t="n">
        <x:v>1102</x:v>
      </x:c>
      <x:c r="D188" s="53" t="n">
        <x:v>649</x:v>
      </x:c>
      <x:c r="E188" s="53" t="n">
        <x:v>1017</x:v>
      </x:c>
      <x:c r="F188" s="53" t="n">
        <x:v>637</x:v>
      </x:c>
      <x:c r="G188" s="53" t="n">
        <x:v>998</x:v>
      </x:c>
      <x:c r="H188" s="53" t="n">
        <x:f>SUM(C188:G188)</x:f>
        <x:v>4403</x:v>
      </x:c>
      <x:c r="I188" s="33"/>
      <x:c r="J188" s="33"/>
      <x:c r="K188" s="33"/>
      <x:c r="L188" s="33"/>
    </x:row>
    <x:row r="189" ht="24" customHeight="1">
      <x:c r="A189" s="33"/>
      <x:c r="B189" s="47" t="str">
        <x:v>typesafe/jev-1.13</x:v>
      </x:c>
      <x:c r="C189" s="54" t="n">
        <x:v>1102</x:v>
      </x:c>
      <x:c r="D189" s="54" t="n">
        <x:v>649</x:v>
      </x:c>
      <x:c r="E189" s="54" t="n">
        <x:v>1017</x:v>
      </x:c>
      <x:c r="F189" s="54" t="n">
        <x:v>637</x:v>
      </x:c>
      <x:c r="G189" s="54" t="n">
        <x:v>998</x:v>
      </x:c>
      <x:c r="H189" s="54" t="n">
        <x:f>SUM(C189:G189)</x:f>
        <x:v>4403</x:v>
      </x:c>
      <x:c r="I189" s="33"/>
      <x:c r="J189" s="33"/>
      <x:c r="K189" s="33"/>
      <x:c r="L189" s="33"/>
    </x:row>
    <x:row r="190" ht="24" customHeight="1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</x:row>
    <x:row r="191" ht="24" customHeight="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</x:row>
    <x:row r="192" ht="23" customHeight="1">
      <x:c r="A192" s="33"/>
      <x:c r="B192" s="38" t="str">
        <x:v>Macro-Precision, Macro-Recall and Macro-F1 are unweighted averages across the classes shown.</x:v>
      </x:c>
      <x:c r="C192" s="38"/>
      <x:c r="D192" s="38"/>
      <x:c r="E192" s="38"/>
      <x:c r="F192" s="38"/>
      <x:c r="G192" s="38"/>
      <x:c r="H192" s="38"/>
      <x:c r="I192" s="38"/>
      <x:c r="J192" s="33"/>
      <x:c r="K192" s="33"/>
      <x:c r="L192" s="33"/>
    </x:row>
    <x:row r="193" ht="23" customHeight="1">
      <x:c r="A193" s="33"/>
      <x:c r="B193" s="38" t="str">
        <x:v>Support is the number of true examples in each class. Total support is calculated across classes.</x:v>
      </x:c>
      <x:c r="C193" s="38"/>
      <x:c r="D193" s="38"/>
      <x:c r="E193" s="38"/>
      <x:c r="F193" s="38"/>
      <x:c r="G193" s="38"/>
      <x:c r="H193" s="38"/>
      <x:c r="I193" s="38"/>
      <x:c r="J193" s="33"/>
      <x:c r="K193" s="33"/>
      <x:c r="L193" s="33"/>
    </x:row>
    <x:row r="194" ht="23" customHeight="1">
      <x:c r="A194" s="33"/>
      <x:c r="B194" s="38" t="str">
        <x:v>Best scores are bold within each country and class; ties are included. Original class labels are retained.</x:v>
      </x:c>
      <x:c r="C194" s="38"/>
      <x:c r="D194" s="38"/>
      <x:c r="E194" s="38"/>
      <x:c r="F194" s="38"/>
      <x:c r="G194" s="38"/>
      <x:c r="H194" s="38"/>
      <x:c r="I194" s="38"/>
      <x:c r="J194" s="33"/>
      <x:c r="K194" s="33"/>
      <x:c r="L194" s="33"/>
    </x:row>
    <x:row r="195" ht="24" customHeight="1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</x:row>
    <x:row r="196" ht="24" customHeight="1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</x:row>
    <x:row r="197" ht="24" customHeight="1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</x:row>
    <x:row r="198" ht="24" customHeight="1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</x:row>
    <x:row r="199" ht="24" customHeight="1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</x:row>
    <x:row r="200" ht="24" customHeight="1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</x:row>
    <x:row r="201" ht="24" customHeight="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</x:row>
    <x:row r="202" ht="24" customHeight="1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</x:row>
    <x:row r="203" ht="24" customHeight="1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</x:row>
    <x:row r="204" ht="24" customHeight="1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</x:row>
    <x:row r="205" ht="24" customHeight="1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</x:row>
    <x:row r="206" ht="24" customHeight="1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</x:row>
    <x:row r="207" ht="24" customHeight="1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</x:row>
    <x:row r="208" ht="24" customHeight="1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</x:row>
    <x:row r="209" ht="24" customHeight="1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</x:row>
    <x:row r="210" ht="24" customHeight="1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</x:row>
    <x:row r="211" ht="24" customHeight="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</x:row>
    <x:row r="212" ht="24" customHeight="1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</x:row>
    <x:row r="213" ht="24" customHeight="1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</x:row>
    <x:row r="214" ht="24" customHeight="1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</x:row>
    <x:row r="215" ht="24" customHeight="1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</x:row>
    <x:row r="216" ht="24" customHeight="1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</x:row>
    <x:row r="217" ht="24" customHeight="1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</x:row>
    <x:row r="218" ht="24" customHeight="1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</x:row>
    <x:row r="219" ht="24" customHeight="1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</x:row>
    <x:row r="220" ht="24" customHeight="1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</x:row>
    <x:row r="221" ht="24" customHeight="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</x:row>
    <x:row r="222" ht="24" customHeight="1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</x:row>
    <x:row r="223" ht="24" customHeight="1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</x:row>
    <x:row r="224" ht="24" customHeight="1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</x:row>
    <x:row r="225" ht="24" customHeight="1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</x:row>
    <x:row r="226" ht="24" customHeight="1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</x:row>
    <x:row r="227" ht="24" customHeight="1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</x:row>
    <x:row r="228" ht="24" customHeight="1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</x:row>
    <x:row r="229" ht="24" customHeight="1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</x:row>
    <x:row r="230" ht="24" customHeight="1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</x:row>
    <x:row r="231" ht="24" customHeight="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</x:row>
    <x:row r="232" ht="24" customHeight="1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</x:row>
    <x:row r="233" ht="24" customHeight="1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</x:row>
    <x:row r="234" ht="24" customHeight="1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</x:row>
    <x:row r="235" ht="24" customHeight="1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</x:row>
    <x:row r="236" ht="24" customHeight="1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</x:row>
    <x:row r="237" ht="24" customHeight="1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</x:row>
    <x:row r="238" ht="24" customHeight="1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</x:row>
    <x:row r="239" ht="24" customHeight="1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</x:row>
    <x:row r="240" ht="24" customHeight="1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</x:row>
    <x:row r="241" ht="24" customHeight="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</x:row>
    <x:row r="242" ht="24" customHeight="1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</x:row>
    <x:row r="243" ht="24" customHeight="1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</x:row>
    <x:row r="244" ht="24" customHeight="1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</x:row>
    <x:row r="245" ht="24" customHeight="1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</x:row>
    <x:row r="246" ht="24" customHeight="1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</x:row>
    <x:row r="247" ht="24" customHeight="1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</x:row>
    <x:row r="248" ht="24" customHeight="1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</x:row>
    <x:row r="249" ht="24" customHeight="1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</x:row>
    <x:row r="250" ht="24" customHeight="1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</x:row>
    <x:row r="251" ht="24" customHeight="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  <x:c r="L251" s="33"/>
    </x:row>
    <x:row r="252" ht="24" customHeight="1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33"/>
      <x:c r="K252" s="33"/>
      <x:c r="L252" s="33"/>
    </x:row>
    <x:row r="253" ht="24" customHeight="1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33"/>
      <x:c r="K253" s="33"/>
      <x:c r="L253" s="33"/>
    </x:row>
    <x:row r="254" ht="24" customHeight="1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33"/>
      <x:c r="K254" s="33"/>
      <x:c r="L254" s="33"/>
    </x:row>
    <x:row r="255" ht="24" customHeight="1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33"/>
      <x:c r="K255" s="33"/>
      <x:c r="L255" s="33"/>
    </x:row>
    <x:row r="256" ht="24" customHeight="1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33"/>
      <x:c r="K256" s="33"/>
      <x:c r="L256" s="33"/>
    </x:row>
    <x:row r="257" ht="24" customHeight="1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33"/>
      <x:c r="K257" s="33"/>
      <x:c r="L257" s="33"/>
    </x:row>
    <x:row r="258" ht="24" customHeight="1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33"/>
      <x:c r="K258" s="33"/>
      <x:c r="L258" s="33"/>
    </x:row>
    <x:row r="259" ht="24" customHeight="1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33"/>
      <x:c r="K259" s="33"/>
      <x:c r="L259" s="33"/>
    </x:row>
    <x:row r="260" ht="24" customHeight="1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33"/>
      <x:c r="K260" s="33"/>
      <x:c r="L260" s="33"/>
    </x:row>
    <x:row r="261" ht="24" customHeight="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33"/>
      <x:c r="K261" s="33"/>
      <x:c r="L261" s="33"/>
    </x:row>
    <x:row r="262" ht="24" customHeight="1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33"/>
      <x:c r="K262" s="33"/>
      <x:c r="L262" s="33"/>
    </x:row>
    <x:row r="263" ht="24" customHeight="1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  <x:c r="L263" s="33"/>
    </x:row>
    <x:row r="264" ht="24" customHeight="1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33"/>
      <x:c r="K264" s="33"/>
      <x:c r="L264" s="33"/>
    </x:row>
    <x:row r="265" ht="24" customHeight="1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33"/>
      <x:c r="K265" s="33"/>
      <x:c r="L265" s="33"/>
    </x:row>
    <x:row r="266" ht="24" customHeight="1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33"/>
      <x:c r="K266" s="33"/>
      <x:c r="L266" s="33"/>
    </x:row>
    <x:row r="267" ht="24" customHeight="1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33"/>
      <x:c r="K267" s="33"/>
      <x:c r="L267" s="33"/>
    </x:row>
    <x:row r="268" ht="24" customHeight="1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33"/>
      <x:c r="K268" s="33"/>
      <x:c r="L268" s="33"/>
    </x:row>
    <x:row r="269" ht="24" customHeight="1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33"/>
      <x:c r="K269" s="33"/>
      <x:c r="L269" s="33"/>
    </x:row>
    <x:row r="270" ht="24" customHeight="1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33"/>
      <x:c r="K270" s="33"/>
      <x:c r="L270" s="33"/>
    </x:row>
    <x:row r="271" ht="24" customHeight="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33"/>
      <x:c r="K271" s="33"/>
      <x:c r="L271" s="33"/>
    </x:row>
    <x:row r="272" ht="24" customHeight="1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33"/>
      <x:c r="K272" s="33"/>
      <x:c r="L272" s="33"/>
    </x:row>
    <x:row r="273" ht="24" customHeight="1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33"/>
      <x:c r="K273" s="33"/>
      <x:c r="L273" s="33"/>
    </x:row>
    <x:row r="274" ht="24" customHeight="1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33"/>
      <x:c r="K274" s="33"/>
      <x:c r="L274" s="33"/>
    </x:row>
    <x:row r="275" ht="24" customHeight="1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  <x:c r="L275" s="33"/>
    </x:row>
    <x:row r="276" ht="24" customHeight="1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33"/>
      <x:c r="K276" s="33"/>
      <x:c r="L276" s="33"/>
    </x:row>
    <x:row r="277" ht="24" customHeight="1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33"/>
      <x:c r="K277" s="33"/>
      <x:c r="L277" s="33"/>
    </x:row>
    <x:row r="278" ht="24" customHeight="1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33"/>
      <x:c r="K278" s="33"/>
      <x:c r="L278" s="33"/>
    </x:row>
    <x:row r="279" ht="24" customHeight="1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33"/>
      <x:c r="K279" s="33"/>
      <x:c r="L279" s="33"/>
    </x:row>
    <x:row r="280" ht="24" customHeight="1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33"/>
      <x:c r="K280" s="33"/>
      <x:c r="L280" s="33"/>
    </x:row>
    <x:row r="281" ht="24" customHeight="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33"/>
      <x:c r="K281" s="33"/>
      <x:c r="L281" s="33"/>
    </x:row>
    <x:row r="282" ht="24" customHeight="1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33"/>
      <x:c r="K282" s="33"/>
      <x:c r="L282" s="33"/>
    </x:row>
    <x:row r="283" ht="24" customHeight="1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33"/>
      <x:c r="K283" s="33"/>
      <x:c r="L283" s="33"/>
    </x:row>
    <x:row r="284" ht="24" customHeight="1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33"/>
      <x:c r="K284" s="33"/>
      <x:c r="L284" s="33"/>
    </x:row>
    <x:row r="285" ht="24" customHeight="1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33"/>
      <x:c r="K285" s="33"/>
      <x:c r="L285" s="33"/>
    </x:row>
    <x:row r="286" ht="24" customHeight="1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33"/>
      <x:c r="K286" s="33"/>
      <x:c r="L286" s="33"/>
    </x:row>
    <x:row r="287" ht="24" customHeight="1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</x:row>
    <x:row r="288" ht="24" customHeight="1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33"/>
      <x:c r="K288" s="33"/>
      <x:c r="L288" s="33"/>
    </x:row>
    <x:row r="289" ht="24" customHeight="1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33"/>
      <x:c r="K289" s="33"/>
      <x:c r="L289" s="33"/>
    </x:row>
    <x:row r="290" ht="24" customHeight="1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33"/>
      <x:c r="K290" s="33"/>
      <x:c r="L290" s="33"/>
    </x:row>
    <x:row r="291" ht="24" customHeight="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33"/>
      <x:c r="K291" s="33"/>
      <x:c r="L291" s="33"/>
    </x:row>
    <x:row r="292" ht="24" customHeight="1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33"/>
      <x:c r="K292" s="33"/>
      <x:c r="L292" s="33"/>
    </x:row>
    <x:row r="293" ht="24" customHeight="1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33"/>
      <x:c r="K293" s="33"/>
      <x:c r="L293" s="33"/>
    </x:row>
    <x:row r="294" ht="24" customHeight="1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33"/>
      <x:c r="K294" s="33"/>
      <x:c r="L294" s="33"/>
    </x:row>
    <x:row r="295" ht="24" customHeight="1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33"/>
      <x:c r="K295" s="33"/>
      <x:c r="L295" s="33"/>
    </x:row>
    <x:row r="296" ht="24" customHeight="1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33"/>
      <x:c r="K296" s="33"/>
      <x:c r="L296" s="33"/>
    </x:row>
    <x:row r="297" ht="24" customHeight="1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33"/>
      <x:c r="K297" s="33"/>
      <x:c r="L297" s="33"/>
    </x:row>
    <x:row r="298" ht="24" customHeight="1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33"/>
      <x:c r="K298" s="33"/>
      <x:c r="L298" s="33"/>
    </x:row>
    <x:row r="299" ht="24" customHeight="1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</x:row>
    <x:row r="300" ht="24" customHeight="1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33"/>
      <x:c r="K300" s="33"/>
      <x:c r="L300" s="33"/>
    </x:row>
  </x:sheetData>
  <x:mergeCells>
    <x:mergeCell ref="C2:F2"/>
    <x:mergeCell ref="B3:F3"/>
    <x:mergeCell ref="C12:F12"/>
    <x:mergeCell ref="B13:F13"/>
    <x:mergeCell ref="C22:F22"/>
    <x:mergeCell ref="B23:F23"/>
    <x:mergeCell ref="C32:F32"/>
    <x:mergeCell ref="B33:F33"/>
    <x:mergeCell ref="C42:G42"/>
    <x:mergeCell ref="B43:G43"/>
    <x:mergeCell ref="C52:G52"/>
    <x:mergeCell ref="B53:G53"/>
    <x:mergeCell ref="C62:E62"/>
    <x:mergeCell ref="B63:E63"/>
    <x:mergeCell ref="C72:E72"/>
    <x:mergeCell ref="B73:E73"/>
    <x:mergeCell ref="C82:H82"/>
    <x:mergeCell ref="B83:H83"/>
    <x:mergeCell ref="C92:H92"/>
    <x:mergeCell ref="B93:H93"/>
    <x:mergeCell ref="B102:H102"/>
    <x:mergeCell ref="B103:H103"/>
    <x:mergeCell ref="B104:H104"/>
    <x:mergeCell ref="B105:H105"/>
    <x:mergeCell ref="B106:H106"/>
    <x:mergeCell ref="B107:H107"/>
    <x:mergeCell ref="C112:F112"/>
    <x:mergeCell ref="B113:F113"/>
    <x:mergeCell ref="C122:F122"/>
    <x:mergeCell ref="B123:F123"/>
    <x:mergeCell ref="C132:F132"/>
    <x:mergeCell ref="B133:F133"/>
    <x:mergeCell ref="C142:F142"/>
    <x:mergeCell ref="B143:F143"/>
    <x:mergeCell ref="C152:H152"/>
    <x:mergeCell ref="B153:H153"/>
    <x:mergeCell ref="C162:H162"/>
    <x:mergeCell ref="B163:H163"/>
    <x:mergeCell ref="C172:H172"/>
    <x:mergeCell ref="B173:H173"/>
    <x:mergeCell ref="C182:H182"/>
    <x:mergeCell ref="B183:H183"/>
    <x:mergeCell ref="B192:I192"/>
    <x:mergeCell ref="B193:I193"/>
    <x:mergeCell ref="B194:I194"/>
  </x:mergeCells>
  <x:conditionalFormatting sqref="C6:C9">
    <x:cfRule type="expression" dxfId="44" priority="1">
      <x:formula>C6=MAX(C$6:C$9)</x:formula>
    </x:cfRule>
    <x:cfRule type="expression" dxfId="45" priority="2">
      <x:formula>C6&lt;&gt;MAX(C$6:C$9)</x:formula>
    </x:cfRule>
  </x:conditionalFormatting>
  <x:conditionalFormatting sqref="D6:D9">
    <x:cfRule type="expression" dxfId="46" priority="3">
      <x:formula>D6=MAX(D$6:D$9)</x:formula>
    </x:cfRule>
    <x:cfRule type="expression" dxfId="47" priority="4">
      <x:formula>D6&lt;&gt;MAX(D$6:D$9)</x:formula>
    </x:cfRule>
  </x:conditionalFormatting>
  <x:conditionalFormatting sqref="E6:E9">
    <x:cfRule type="expression" dxfId="48" priority="5">
      <x:formula>E6=MAX(E$6:E$9)</x:formula>
    </x:cfRule>
    <x:cfRule type="expression" dxfId="49" priority="6">
      <x:formula>E6&lt;&gt;MAX(E$6:E$9)</x:formula>
    </x:cfRule>
  </x:conditionalFormatting>
  <x:conditionalFormatting sqref="F6:F9">
    <x:cfRule type="expression" dxfId="50" priority="7">
      <x:formula>F6=MAX(F$6:F$9)</x:formula>
    </x:cfRule>
    <x:cfRule type="expression" dxfId="51" priority="8">
      <x:formula>F6&lt;&gt;MAX(F$6:F$9)</x:formula>
    </x:cfRule>
  </x:conditionalFormatting>
  <x:conditionalFormatting sqref="C16:C19">
    <x:cfRule type="expression" dxfId="52" priority="9">
      <x:formula>C16=MAX(C$16:C$19)</x:formula>
    </x:cfRule>
    <x:cfRule type="expression" dxfId="53" priority="10">
      <x:formula>C16&lt;&gt;MAX(C$16:C$19)</x:formula>
    </x:cfRule>
  </x:conditionalFormatting>
  <x:conditionalFormatting sqref="D16:D19">
    <x:cfRule type="expression" dxfId="54" priority="11">
      <x:formula>D16=MAX(D$16:D$19)</x:formula>
    </x:cfRule>
    <x:cfRule type="expression" dxfId="55" priority="12">
      <x:formula>D16&lt;&gt;MAX(D$16:D$19)</x:formula>
    </x:cfRule>
  </x:conditionalFormatting>
  <x:conditionalFormatting sqref="E16:E19">
    <x:cfRule type="expression" dxfId="56" priority="13">
      <x:formula>E16=MAX(E$16:E$19)</x:formula>
    </x:cfRule>
    <x:cfRule type="expression" dxfId="57" priority="14">
      <x:formula>E16&lt;&gt;MAX(E$16:E$19)</x:formula>
    </x:cfRule>
  </x:conditionalFormatting>
  <x:conditionalFormatting sqref="F16:F19">
    <x:cfRule type="expression" dxfId="58" priority="15">
      <x:formula>F16=MAX(F$16:F$19)</x:formula>
    </x:cfRule>
    <x:cfRule type="expression" dxfId="59" priority="16">
      <x:formula>F16&lt;&gt;MAX(F$16:F$19)</x:formula>
    </x:cfRule>
  </x:conditionalFormatting>
  <x:conditionalFormatting sqref="C46:C49">
    <x:cfRule type="expression" dxfId="60" priority="17">
      <x:formula>C46=MIN(C$46:C$49)</x:formula>
    </x:cfRule>
    <x:cfRule type="expression" dxfId="61" priority="18">
      <x:formula>C46&lt;&gt;MIN(C$46:C$49)</x:formula>
    </x:cfRule>
  </x:conditionalFormatting>
  <x:conditionalFormatting sqref="D46:D49">
    <x:cfRule type="expression" dxfId="62" priority="19">
      <x:formula>D46=MIN(D$46:D$49)</x:formula>
    </x:cfRule>
    <x:cfRule type="expression" dxfId="63" priority="20">
      <x:formula>D46&lt;&gt;MIN(D$46:D$49)</x:formula>
    </x:cfRule>
  </x:conditionalFormatting>
  <x:conditionalFormatting sqref="E46:E49">
    <x:cfRule type="expression" dxfId="64" priority="21">
      <x:formula>E46=MIN(E$46:E$49)</x:formula>
    </x:cfRule>
    <x:cfRule type="expression" dxfId="65" priority="22">
      <x:formula>E46&lt;&gt;MIN(E$46:E$49)</x:formula>
    </x:cfRule>
  </x:conditionalFormatting>
  <x:conditionalFormatting sqref="F46:F49">
    <x:cfRule type="expression" dxfId="66" priority="23">
      <x:formula>F46=MAX(F$46:F$49)</x:formula>
    </x:cfRule>
    <x:cfRule type="expression" dxfId="67" priority="24">
      <x:formula>F46&lt;&gt;MAX(F$46:F$49)</x:formula>
    </x:cfRule>
  </x:conditionalFormatting>
  <x:conditionalFormatting sqref="C56:C59">
    <x:cfRule type="expression" dxfId="68" priority="25">
      <x:formula>C56=MIN(C$56:C$59)</x:formula>
    </x:cfRule>
    <x:cfRule type="expression" dxfId="69" priority="26">
      <x:formula>C56&lt;&gt;MIN(C$56:C$59)</x:formula>
    </x:cfRule>
  </x:conditionalFormatting>
  <x:conditionalFormatting sqref="D56:D59">
    <x:cfRule type="expression" dxfId="70" priority="27">
      <x:formula>D56=MIN(D$56:D$59)</x:formula>
    </x:cfRule>
    <x:cfRule type="expression" dxfId="71" priority="28">
      <x:formula>D56&lt;&gt;MIN(D$56:D$59)</x:formula>
    </x:cfRule>
  </x:conditionalFormatting>
  <x:conditionalFormatting sqref="E56:E59">
    <x:cfRule type="expression" dxfId="72" priority="29">
      <x:formula>E56=MIN(E$56:E$59)</x:formula>
    </x:cfRule>
    <x:cfRule type="expression" dxfId="73" priority="30">
      <x:formula>E56&lt;&gt;MIN(E$56:E$59)</x:formula>
    </x:cfRule>
  </x:conditionalFormatting>
  <x:conditionalFormatting sqref="F56:F59">
    <x:cfRule type="expression" dxfId="74" priority="31">
      <x:formula>F56=MAX(F$56:F$59)</x:formula>
    </x:cfRule>
    <x:cfRule type="expression" dxfId="75" priority="32">
      <x:formula>F56&lt;&gt;MAX(F$56:F$59)</x:formula>
    </x:cfRule>
  </x:conditionalFormatting>
  <x:conditionalFormatting sqref="C66:C69">
    <x:cfRule type="expression" dxfId="76" priority="33">
      <x:formula>C66=MIN(C$66:C$69)</x:formula>
    </x:cfRule>
    <x:cfRule type="expression" dxfId="77" priority="34">
      <x:formula>C66&lt;&gt;MIN(C$66:C$69)</x:formula>
    </x:cfRule>
  </x:conditionalFormatting>
  <x:conditionalFormatting sqref="D66:D69">
    <x:cfRule type="expression" dxfId="78" priority="35">
      <x:formula>D66=MIN(D$66:D$69)</x:formula>
    </x:cfRule>
    <x:cfRule type="expression" dxfId="79" priority="36">
      <x:formula>D66&lt;&gt;MIN(D$66:D$69)</x:formula>
    </x:cfRule>
  </x:conditionalFormatting>
  <x:conditionalFormatting sqref="E66:E69">
    <x:cfRule type="expression" dxfId="80" priority="37">
      <x:formula>E66=MIN(E$66:E$69)</x:formula>
    </x:cfRule>
    <x:cfRule type="expression" dxfId="81" priority="38">
      <x:formula>E66&lt;&gt;MIN(E$66:E$69)</x:formula>
    </x:cfRule>
  </x:conditionalFormatting>
  <x:conditionalFormatting sqref="C76:C79">
    <x:cfRule type="expression" dxfId="82" priority="39">
      <x:formula>C76=MIN(C$76:C$79)</x:formula>
    </x:cfRule>
    <x:cfRule type="expression" dxfId="83" priority="40">
      <x:formula>C76&lt;&gt;MIN(C$76:C$79)</x:formula>
    </x:cfRule>
  </x:conditionalFormatting>
  <x:conditionalFormatting sqref="D76:D79">
    <x:cfRule type="expression" dxfId="84" priority="41">
      <x:formula>D76=MIN(D$76:D$79)</x:formula>
    </x:cfRule>
    <x:cfRule type="expression" dxfId="85" priority="42">
      <x:formula>D76&lt;&gt;MIN(D$76:D$79)</x:formula>
    </x:cfRule>
  </x:conditionalFormatting>
  <x:conditionalFormatting sqref="E76:E79">
    <x:cfRule type="expression" dxfId="86" priority="43">
      <x:formula>E76=MIN(E$76:E$79)</x:formula>
    </x:cfRule>
    <x:cfRule type="expression" dxfId="87" priority="44">
      <x:formula>E76&lt;&gt;MIN(E$76:E$79)</x:formula>
    </x:cfRule>
  </x:conditionalFormatting>
  <x:conditionalFormatting sqref="C116:C119">
    <x:cfRule type="expression" dxfId="254" priority="45">
      <x:formula>C116=MAX(C$116:C$119)</x:formula>
    </x:cfRule>
    <x:cfRule type="expression" dxfId="255" priority="46">
      <x:formula>C116&lt;&gt;MAX(C$116:C$119)</x:formula>
    </x:cfRule>
  </x:conditionalFormatting>
  <x:conditionalFormatting sqref="D116:D119">
    <x:cfRule type="expression" dxfId="256" priority="47">
      <x:formula>D116=MAX(D$116:D$119)</x:formula>
    </x:cfRule>
    <x:cfRule type="expression" dxfId="257" priority="48">
      <x:formula>D116&lt;&gt;MAX(D$116:D$119)</x:formula>
    </x:cfRule>
  </x:conditionalFormatting>
  <x:conditionalFormatting sqref="E116:E119">
    <x:cfRule type="expression" dxfId="258" priority="49">
      <x:formula>E116=MAX(E$116:E$119)</x:formula>
    </x:cfRule>
    <x:cfRule type="expression" dxfId="259" priority="50">
      <x:formula>E116&lt;&gt;MAX(E$116:E$119)</x:formula>
    </x:cfRule>
  </x:conditionalFormatting>
  <x:conditionalFormatting sqref="F116:F119">
    <x:cfRule type="expression" dxfId="260" priority="51">
      <x:formula>F116=MAX(F$116:F$119)</x:formula>
    </x:cfRule>
    <x:cfRule type="expression" dxfId="261" priority="52">
      <x:formula>F116&lt;&gt;MAX(F$116:F$119)</x:formula>
    </x:cfRule>
  </x:conditionalFormatting>
  <x:conditionalFormatting sqref="C126:C129">
    <x:cfRule type="expression" dxfId="262" priority="53">
      <x:formula>C126=MAX(C$126:C$129)</x:formula>
    </x:cfRule>
    <x:cfRule type="expression" dxfId="263" priority="54">
      <x:formula>C126&lt;&gt;MAX(C$126:C$129)</x:formula>
    </x:cfRule>
  </x:conditionalFormatting>
  <x:conditionalFormatting sqref="D126:D129">
    <x:cfRule type="expression" dxfId="264" priority="55">
      <x:formula>D126=MAX(D$126:D$129)</x:formula>
    </x:cfRule>
    <x:cfRule type="expression" dxfId="265" priority="56">
      <x:formula>D126&lt;&gt;MAX(D$126:D$129)</x:formula>
    </x:cfRule>
  </x:conditionalFormatting>
  <x:conditionalFormatting sqref="E126:E129">
    <x:cfRule type="expression" dxfId="266" priority="57">
      <x:formula>E126=MAX(E$126:E$129)</x:formula>
    </x:cfRule>
    <x:cfRule type="expression" dxfId="267" priority="58">
      <x:formula>E126&lt;&gt;MAX(E$126:E$129)</x:formula>
    </x:cfRule>
  </x:conditionalFormatting>
  <x:conditionalFormatting sqref="F126:F129">
    <x:cfRule type="expression" dxfId="268" priority="59">
      <x:formula>F126=MAX(F$126:F$129)</x:formula>
    </x:cfRule>
    <x:cfRule type="expression" dxfId="269" priority="60">
      <x:formula>F126&lt;&gt;MAX(F$126:F$129)</x:formula>
    </x:cfRule>
  </x:conditionalFormatting>
  <x:conditionalFormatting sqref="C136:C139">
    <x:cfRule type="expression" dxfId="270" priority="61">
      <x:formula>C136=MAX(C$136:C$139)</x:formula>
    </x:cfRule>
    <x:cfRule type="expression" dxfId="271" priority="62">
      <x:formula>C136&lt;&gt;MAX(C$136:C$139)</x:formula>
    </x:cfRule>
  </x:conditionalFormatting>
  <x:conditionalFormatting sqref="D136:D139">
    <x:cfRule type="expression" dxfId="272" priority="63">
      <x:formula>D136=MAX(D$136:D$139)</x:formula>
    </x:cfRule>
    <x:cfRule type="expression" dxfId="273" priority="64">
      <x:formula>D136&lt;&gt;MAX(D$136:D$139)</x:formula>
    </x:cfRule>
  </x:conditionalFormatting>
  <x:conditionalFormatting sqref="E136:E139">
    <x:cfRule type="expression" dxfId="274" priority="65">
      <x:formula>E136=MAX(E$136:E$139)</x:formula>
    </x:cfRule>
    <x:cfRule type="expression" dxfId="275" priority="66">
      <x:formula>E136&lt;&gt;MAX(E$136:E$139)</x:formula>
    </x:cfRule>
  </x:conditionalFormatting>
  <x:conditionalFormatting sqref="F136:F139">
    <x:cfRule type="expression" dxfId="276" priority="67">
      <x:formula>F136=MAX(F$136:F$139)</x:formula>
    </x:cfRule>
    <x:cfRule type="expression" dxfId="277" priority="68">
      <x:formula>F136&lt;&gt;MAX(F$136:F$139)</x:formula>
    </x:cfRule>
  </x:conditionalFormatting>
  <x:conditionalFormatting sqref="C156:C159">
    <x:cfRule type="expression" dxfId="278" priority="69">
      <x:formula>C156=MAX(C$156:C$159)</x:formula>
    </x:cfRule>
    <x:cfRule type="expression" dxfId="279" priority="70">
      <x:formula>C156&lt;&gt;MAX(C$156:C$159)</x:formula>
    </x:cfRule>
  </x:conditionalFormatting>
  <x:conditionalFormatting sqref="D156:D159">
    <x:cfRule type="expression" dxfId="280" priority="71">
      <x:formula>D156=MAX(D$156:D$159)</x:formula>
    </x:cfRule>
    <x:cfRule type="expression" dxfId="281" priority="72">
      <x:formula>D156&lt;&gt;MAX(D$156:D$159)</x:formula>
    </x:cfRule>
  </x:conditionalFormatting>
  <x:conditionalFormatting sqref="E156:E159">
    <x:cfRule type="expression" dxfId="282" priority="73">
      <x:formula>E156=MAX(E$156:E$159)</x:formula>
    </x:cfRule>
    <x:cfRule type="expression" dxfId="283" priority="74">
      <x:formula>E156&lt;&gt;MAX(E$156:E$159)</x:formula>
    </x:cfRule>
  </x:conditionalFormatting>
  <x:conditionalFormatting sqref="F156:F159">
    <x:cfRule type="expression" dxfId="284" priority="75">
      <x:formula>F156=MAX(F$156:F$159)</x:formula>
    </x:cfRule>
    <x:cfRule type="expression" dxfId="285" priority="76">
      <x:formula>F156&lt;&gt;MAX(F$156:F$159)</x:formula>
    </x:cfRule>
  </x:conditionalFormatting>
  <x:conditionalFormatting sqref="G156:G159">
    <x:cfRule type="expression" dxfId="286" priority="77">
      <x:formula>G156=MAX(G$156:G$159)</x:formula>
    </x:cfRule>
    <x:cfRule type="expression" dxfId="287" priority="78">
      <x:formula>G156&lt;&gt;MAX(G$156:G$159)</x:formula>
    </x:cfRule>
  </x:conditionalFormatting>
  <x:conditionalFormatting sqref="H156:H159">
    <x:cfRule type="expression" dxfId="288" priority="79">
      <x:formula>H156=MAX(H$156:H$159)</x:formula>
    </x:cfRule>
    <x:cfRule type="expression" dxfId="289" priority="80">
      <x:formula>H156&lt;&gt;MAX(H$156:H$159)</x:formula>
    </x:cfRule>
  </x:conditionalFormatting>
  <x:conditionalFormatting sqref="C166:C169">
    <x:cfRule type="expression" dxfId="290" priority="81">
      <x:formula>C166=MAX(C$166:C$169)</x:formula>
    </x:cfRule>
    <x:cfRule type="expression" dxfId="291" priority="82">
      <x:formula>C166&lt;&gt;MAX(C$166:C$169)</x:formula>
    </x:cfRule>
  </x:conditionalFormatting>
  <x:conditionalFormatting sqref="D166:D169">
    <x:cfRule type="expression" dxfId="292" priority="83">
      <x:formula>D166=MAX(D$166:D$169)</x:formula>
    </x:cfRule>
    <x:cfRule type="expression" dxfId="293" priority="84">
      <x:formula>D166&lt;&gt;MAX(D$166:D$169)</x:formula>
    </x:cfRule>
  </x:conditionalFormatting>
  <x:conditionalFormatting sqref="E166:E169">
    <x:cfRule type="expression" dxfId="294" priority="85">
      <x:formula>E166=MAX(E$166:E$169)</x:formula>
    </x:cfRule>
    <x:cfRule type="expression" dxfId="295" priority="86">
      <x:formula>E166&lt;&gt;MAX(E$166:E$169)</x:formula>
    </x:cfRule>
  </x:conditionalFormatting>
  <x:conditionalFormatting sqref="F166:F169">
    <x:cfRule type="expression" dxfId="296" priority="87">
      <x:formula>F166=MAX(F$166:F$169)</x:formula>
    </x:cfRule>
    <x:cfRule type="expression" dxfId="297" priority="88">
      <x:formula>F166&lt;&gt;MAX(F$166:F$169)</x:formula>
    </x:cfRule>
  </x:conditionalFormatting>
  <x:conditionalFormatting sqref="G166:G169">
    <x:cfRule type="expression" dxfId="298" priority="89">
      <x:formula>G166=MAX(G$166:G$169)</x:formula>
    </x:cfRule>
    <x:cfRule type="expression" dxfId="299" priority="90">
      <x:formula>G166&lt;&gt;MAX(G$166:G$169)</x:formula>
    </x:cfRule>
  </x:conditionalFormatting>
  <x:conditionalFormatting sqref="H166:H169">
    <x:cfRule type="expression" dxfId="300" priority="91">
      <x:formula>H166=MAX(H$166:H$169)</x:formula>
    </x:cfRule>
    <x:cfRule type="expression" dxfId="301" priority="92">
      <x:formula>H166&lt;&gt;MAX(H$166:H$169)</x:formula>
    </x:cfRule>
  </x:conditionalFormatting>
  <x:conditionalFormatting sqref="C176:C179">
    <x:cfRule type="expression" dxfId="302" priority="93">
      <x:formula>C176=MAX(C$176:C$179)</x:formula>
    </x:cfRule>
    <x:cfRule type="expression" dxfId="303" priority="94">
      <x:formula>C176&lt;&gt;MAX(C$176:C$179)</x:formula>
    </x:cfRule>
  </x:conditionalFormatting>
  <x:conditionalFormatting sqref="D176:D179">
    <x:cfRule type="expression" dxfId="304" priority="95">
      <x:formula>D176=MAX(D$176:D$179)</x:formula>
    </x:cfRule>
    <x:cfRule type="expression" dxfId="305" priority="96">
      <x:formula>D176&lt;&gt;MAX(D$176:D$179)</x:formula>
    </x:cfRule>
  </x:conditionalFormatting>
  <x:conditionalFormatting sqref="E176:E179">
    <x:cfRule type="expression" dxfId="306" priority="97">
      <x:formula>E176=MAX(E$176:E$179)</x:formula>
    </x:cfRule>
    <x:cfRule type="expression" dxfId="307" priority="98">
      <x:formula>E176&lt;&gt;MAX(E$176:E$179)</x:formula>
    </x:cfRule>
  </x:conditionalFormatting>
  <x:conditionalFormatting sqref="F176:F179">
    <x:cfRule type="expression" dxfId="308" priority="99">
      <x:formula>F176=MAX(F$176:F$179)</x:formula>
    </x:cfRule>
    <x:cfRule type="expression" dxfId="309" priority="100">
      <x:formula>F176&lt;&gt;MAX(F$176:F$179)</x:formula>
    </x:cfRule>
  </x:conditionalFormatting>
  <x:conditionalFormatting sqref="G176:G179">
    <x:cfRule type="expression" dxfId="310" priority="101">
      <x:formula>G176=MAX(G$176:G$179)</x:formula>
    </x:cfRule>
    <x:cfRule type="expression" dxfId="311" priority="102">
      <x:formula>G176&lt;&gt;MAX(G$176:G$179)</x:formula>
    </x:cfRule>
  </x:conditionalFormatting>
  <x:conditionalFormatting sqref="H176:H179">
    <x:cfRule type="expression" dxfId="312" priority="103">
      <x:formula>H176=MAX(H$176:H$179)</x:formula>
    </x:cfRule>
    <x:cfRule type="expression" dxfId="313" priority="104">
      <x:formula>H176&lt;&gt;MAX(H$176:H$179)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435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.5" hidden="0" customWidth="1"/>
    <x:col min="2" max="2" width="16.5" hidden="0" customWidth="1"/>
    <x:col min="3" max="3" width="31.25" hidden="0" customWidth="1"/>
    <x:col min="4" max="4" width="18.5" hidden="0" customWidth="1"/>
    <x:col min="5" max="5" width="18.5" hidden="0" customWidth="1"/>
    <x:col min="6" max="6" width="18.5" hidden="0" customWidth="1"/>
    <x:col min="7" max="7" width="18.5" hidden="0" customWidth="1"/>
    <x:col min="8" max="8" width="18.5" hidden="0" customWidth="1"/>
    <x:col min="9" max="9" width="18.5" hidden="0" customWidth="1"/>
    <x:col min="10" max="10" width="18.5" hidden="0" customWidth="1"/>
    <x:col min="11" max="11" width="18.5" hidden="0" customWidth="1"/>
    <x:col min="12" max="12" width="18.5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9" customHeight="1">
      <x:c r="A2" s="3"/>
      <x:c r="B2" s="4" t="str">
        <x:v>TABLE 1.</x:v>
      </x:c>
      <x:c r="C2" s="5" t="str">
        <x:v>Sentiment classification performance.</x:v>
      </x:c>
      <x:c r="D2" s="5"/>
      <x:c r="E2" s="5"/>
      <x:c r="F2" s="5"/>
      <x:c r="G2" s="5"/>
      <x:c r="H2" s="3"/>
      <x:c r="I2" s="3"/>
      <x:c r="J2" s="3"/>
    </x:row>
    <x:row r="3" ht="21" customHeight="1">
      <x:c r="A3" s="3"/>
      <x:c r="B3" s="6" t="str">
        <x:v>Türkiye: sentiment_tr, n = 12,760; Indonesian: sentiment, n = 12,760</x:v>
      </x:c>
      <x:c r="C3" s="6"/>
      <x:c r="D3" s="6"/>
      <x:c r="E3" s="6"/>
      <x:c r="F3" s="6"/>
      <x:c r="G3" s="6"/>
      <x:c r="H3" s="3"/>
      <x:c r="I3" s="3"/>
      <x:c r="J3" s="3"/>
    </x:row>
    <x:row r="4" ht="9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42" customHeight="1">
      <x:c r="A5" s="3"/>
      <x:c r="B5" s="11" t="str">
        <x:v>Country</x:v>
      </x:c>
      <x:c r="C5" s="11" t="str">
        <x:v>Model</x:v>
      </x:c>
      <x:c r="D5" s="10" t="str">
        <x:v>Accuracy</x:v>
      </x:c>
      <x:c r="E5" s="10" t="str">
        <x:v>Balanced
Accuracy</x:v>
      </x:c>
      <x:c r="F5" s="10" t="str">
        <x:v>Macro-F1</x:v>
      </x:c>
      <x:c r="G5" s="10" t="str">
        <x:v>Weighted-F1</x:v>
      </x:c>
      <x:c r="H5" s="3"/>
      <x:c r="I5" s="3"/>
      <x:c r="J5" s="3"/>
    </x:row>
    <x:row r="6" ht="24" customHeight="1">
      <x:c r="A6" s="3"/>
      <x:c r="B6" s="12" t="str">
        <x:v>Türkiye</x:v>
      </x:c>
      <x:c r="C6" s="12" t="str">
        <x:v>nimble:9b</x:v>
      </x:c>
      <x:c r="D6" s="18" t="n">
        <x:f>'Turkiye'!C6</x:f>
        <x:v>0.7760971786833856</x:v>
      </x:c>
      <x:c r="E6" s="18" t="n">
        <x:f>'Turkiye'!D6</x:f>
        <x:v>0.6420444889721574</x:v>
      </x:c>
      <x:c r="F6" s="18" t="n">
        <x:f>'Turkiye'!E6</x:f>
        <x:v>0.6255952736069749</x:v>
      </x:c>
      <x:c r="G6" s="18" t="n">
        <x:f>'Turkiye'!F6</x:f>
        <x:v>0.74384902834354</x:v>
      </x:c>
      <x:c r="H6" s="3"/>
      <x:c r="I6" s="3"/>
      <x:c r="J6" s="3"/>
    </x:row>
    <x:row r="7" ht="24" customHeight="1">
      <x:c r="A7" s="3"/>
      <x:c r="B7" s="12" t="str">
        <x:v>Türkiye</x:v>
      </x:c>
      <x:c r="C7" s="12" t="str">
        <x:v>tev1:0.8b</x:v>
      </x:c>
      <x:c r="D7" s="18" t="n">
        <x:f>'Turkiye'!C7</x:f>
        <x:v>0.7296238244514106</x:v>
      </x:c>
      <x:c r="E7" s="18" t="n">
        <x:f>'Turkiye'!D7</x:f>
        <x:v>0.6270613295451795</x:v>
      </x:c>
      <x:c r="F7" s="18" t="n">
        <x:f>'Turkiye'!E7</x:f>
        <x:v>0.6082490422699799</x:v>
      </x:c>
      <x:c r="G7" s="18" t="n">
        <x:f>'Turkiye'!F7</x:f>
        <x:v>0.717198483896461</x:v>
      </x:c>
      <x:c r="H7" s="3"/>
      <x:c r="I7" s="3"/>
      <x:c r="J7" s="3"/>
    </x:row>
    <x:row r="8" ht="24" customHeight="1">
      <x:c r="A8" s="3"/>
      <x:c r="B8" s="12" t="str">
        <x:v>Türkiye</x:v>
      </x:c>
      <x:c r="C8" s="12" t="str">
        <x:v>tev1:4b</x:v>
      </x:c>
      <x:c r="D8" s="19" t="n">
        <x:f>'Turkiye'!C8</x:f>
        <x:v>0.7877742946708464</x:v>
      </x:c>
      <x:c r="E8" s="19" t="n">
        <x:f>'Turkiye'!D8</x:f>
        <x:v>0.6737569254042018</x:v>
      </x:c>
      <x:c r="F8" s="19" t="n">
        <x:f>'Turkiye'!E8</x:f>
        <x:v>0.6752599831550202</x:v>
      </x:c>
      <x:c r="G8" s="19" t="n">
        <x:f>'Turkiye'!F8</x:f>
        <x:v>0.7720257413553878</x:v>
      </x:c>
      <x:c r="H8" s="3"/>
      <x:c r="I8" s="3"/>
      <x:c r="J8" s="3"/>
    </x:row>
    <x:row r="9" ht="24" customHeight="1">
      <x:c r="A9" s="3"/>
      <x:c r="B9" s="12" t="str">
        <x:v>Türkiye</x:v>
      </x:c>
      <x:c r="C9" s="12" t="str">
        <x:v>typesafe/jev-1.13</x:v>
      </x:c>
      <x:c r="D9" s="18" t="n">
        <x:f>'Turkiye'!C9</x:f>
        <x:v>0.7746865203761756</x:v>
      </x:c>
      <x:c r="E9" s="18" t="n">
        <x:f>'Turkiye'!D9</x:f>
        <x:v>0.6486062757709893</x:v>
      </x:c>
      <x:c r="F9" s="18" t="n">
        <x:f>'Turkiye'!E9</x:f>
        <x:v>0.6120573235331662</x:v>
      </x:c>
      <x:c r="G9" s="18" t="n">
        <x:f>'Turkiye'!F9</x:f>
        <x:v>0.7427881772282183</x:v>
      </x:c>
      <x:c r="H9" s="3"/>
      <x:c r="I9" s="3"/>
      <x:c r="J9" s="3"/>
    </x:row>
    <x:row r="10" ht="24" customHeight="1">
      <x:c r="A10" s="3"/>
      <x:c r="B10" s="26" t="str">
        <x:v>Indonesian</x:v>
      </x:c>
      <x:c r="C10" s="26" t="str">
        <x:v>nimble:9b</x:v>
      </x:c>
      <x:c r="D10" s="29" t="n">
        <x:f>'Indonesian'!C6</x:f>
        <x:v>0.8871473354231975</x:v>
      </x:c>
      <x:c r="E10" s="29" t="n">
        <x:f>'Indonesian'!D6</x:f>
        <x:v>0.8076030899326468</x:v>
      </x:c>
      <x:c r="F10" s="29" t="n">
        <x:f>'Indonesian'!E6</x:f>
        <x:v>0.8157296719161945</x:v>
      </x:c>
      <x:c r="G10" s="29" t="n">
        <x:f>'Indonesian'!F6</x:f>
        <x:v>0.885061270975692</x:v>
      </x:c>
      <x:c r="H10" s="3"/>
      <x:c r="I10" s="3"/>
      <x:c r="J10" s="3"/>
    </x:row>
    <x:row r="11" ht="24" customHeight="1">
      <x:c r="A11" s="3"/>
      <x:c r="B11" s="12" t="str">
        <x:v>Indonesian</x:v>
      </x:c>
      <x:c r="C11" s="12" t="str">
        <x:v>tev1:0.8b</x:v>
      </x:c>
      <x:c r="D11" s="18" t="n">
        <x:f>'Indonesian'!C7</x:f>
        <x:v>0.7920846394984326</x:v>
      </x:c>
      <x:c r="E11" s="18" t="n">
        <x:f>'Indonesian'!D7</x:f>
        <x:v>0.7106581439889835</x:v>
      </x:c>
      <x:c r="F11" s="18" t="n">
        <x:f>'Indonesian'!E7</x:f>
        <x:v>0.6934219752577757</x:v>
      </x:c>
      <x:c r="G11" s="18" t="n">
        <x:f>'Indonesian'!F7</x:f>
        <x:v>0.8050267727385058</x:v>
      </x:c>
      <x:c r="H11" s="3"/>
      <x:c r="I11" s="3"/>
      <x:c r="J11" s="3"/>
    </x:row>
    <x:row r="12" ht="24" customHeight="1">
      <x:c r="A12" s="3"/>
      <x:c r="B12" s="12" t="str">
        <x:v>Indonesian</x:v>
      </x:c>
      <x:c r="C12" s="12" t="str">
        <x:v>tev1:4b</x:v>
      </x:c>
      <x:c r="D12" s="18" t="n">
        <x:f>'Indonesian'!C8</x:f>
        <x:v>0.8666927899686521</x:v>
      </x:c>
      <x:c r="E12" s="19" t="n">
        <x:f>'Indonesian'!D8</x:f>
        <x:v>0.8264415714783092</x:v>
      </x:c>
      <x:c r="F12" s="18" t="n">
        <x:f>'Indonesian'!E8</x:f>
        <x:v>0.7976595937852392</x:v>
      </x:c>
      <x:c r="G12" s="18" t="n">
        <x:f>'Indonesian'!F8</x:f>
        <x:v>0.8749217818122281</x:v>
      </x:c>
      <x:c r="H12" s="3"/>
      <x:c r="I12" s="3"/>
      <x:c r="J12" s="3"/>
    </x:row>
    <x:row r="13" ht="24" customHeight="1">
      <x:c r="A13" s="3"/>
      <x:c r="B13" s="14" t="str">
        <x:v>Indonesian</x:v>
      </x:c>
      <x:c r="C13" s="14" t="str">
        <x:v>typesafe/jev-1.13</x:v>
      </x:c>
      <x:c r="D13" s="21" t="n">
        <x:f>'Indonesian'!C9</x:f>
        <x:v>0.8882445141065831</x:v>
      </x:c>
      <x:c r="E13" s="20" t="n">
        <x:f>'Indonesian'!D9</x:f>
        <x:v>0.8191507573590764</x:v>
      </x:c>
      <x:c r="F13" s="21" t="n">
        <x:f>'Indonesian'!E9</x:f>
        <x:v>0.8191923068187693</x:v>
      </x:c>
      <x:c r="G13" s="21" t="n">
        <x:f>'Indonesian'!F9</x:f>
        <x:v>0.8871617844400538</x:v>
      </x:c>
      <x:c r="H13" s="3"/>
      <x:c r="I13" s="3"/>
      <x:c r="J13" s="3"/>
    </x:row>
    <x:row r="14" ht="24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</x:row>
    <x:row r="15" ht="24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</x:row>
    <x:row r="16" ht="29" customHeight="1">
      <x:c r="A16" s="3"/>
      <x:c r="B16" s="4" t="str">
        <x:v>TABLE 2.</x:v>
      </x:c>
      <x:c r="C16" s="5" t="str">
        <x:v>Emotion classification performance.</x:v>
      </x:c>
      <x:c r="D16" s="5"/>
      <x:c r="E16" s="5"/>
      <x:c r="F16" s="5"/>
      <x:c r="G16" s="5"/>
      <x:c r="H16" s="3"/>
      <x:c r="I16" s="3"/>
      <x:c r="J16" s="3"/>
    </x:row>
    <x:row r="17" ht="21" customHeight="1">
      <x:c r="A17" s="3"/>
      <x:c r="B17" s="6" t="str">
        <x:v>Türkiye: emotion_tr, n = 4,403; Indonesian: emotion, n = 4,403</x:v>
      </x:c>
      <x:c r="C17" s="6"/>
      <x:c r="D17" s="6"/>
      <x:c r="E17" s="6"/>
      <x:c r="F17" s="6"/>
      <x:c r="G17" s="6"/>
      <x:c r="H17" s="3"/>
      <x:c r="I17" s="3"/>
      <x:c r="J17" s="3"/>
    </x:row>
    <x:row r="18" ht="9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</x:row>
    <x:row r="19" ht="42" customHeight="1">
      <x:c r="A19" s="3"/>
      <x:c r="B19" s="11" t="str">
        <x:v>Country</x:v>
      </x:c>
      <x:c r="C19" s="11" t="str">
        <x:v>Model</x:v>
      </x:c>
      <x:c r="D19" s="10" t="str">
        <x:v>Accuracy</x:v>
      </x:c>
      <x:c r="E19" s="10" t="str">
        <x:v>Balanced
Accuracy</x:v>
      </x:c>
      <x:c r="F19" s="10" t="str">
        <x:v>Macro-F1</x:v>
      </x:c>
      <x:c r="G19" s="10" t="str">
        <x:v>Weighted-F1</x:v>
      </x:c>
      <x:c r="H19" s="3"/>
      <x:c r="I19" s="3"/>
      <x:c r="J19" s="3"/>
    </x:row>
    <x:row r="20" ht="24" customHeight="1">
      <x:c r="A20" s="3"/>
      <x:c r="B20" s="12" t="str">
        <x:v>Türkiye</x:v>
      </x:c>
      <x:c r="C20" s="12" t="str">
        <x:v>nimble:9b</x:v>
      </x:c>
      <x:c r="D20" s="18" t="n">
        <x:f>'Turkiye'!C16</x:f>
        <x:v>0.7138314785373608</x:v>
      </x:c>
      <x:c r="E20" s="18" t="n">
        <x:f>'Turkiye'!D16</x:f>
        <x:v>0.7138087774294671</x:v>
      </x:c>
      <x:c r="F20" s="18" t="n">
        <x:f>'Turkiye'!E16</x:f>
        <x:v>0.711551551667003</x:v>
      </x:c>
      <x:c r="G20" s="18" t="n">
        <x:f>'Turkiye'!F16</x:f>
        <x:v>0.7115608978473723</x:v>
      </x:c>
      <x:c r="H20" s="3"/>
      <x:c r="I20" s="3"/>
      <x:c r="J20" s="3"/>
    </x:row>
    <x:row r="21" ht="24" customHeight="1">
      <x:c r="A21" s="3"/>
      <x:c r="B21" s="12" t="str">
        <x:v>Türkiye</x:v>
      </x:c>
      <x:c r="C21" s="12" t="str">
        <x:v>tev1:0.8b</x:v>
      </x:c>
      <x:c r="D21" s="18" t="n">
        <x:f>'Turkiye'!C17</x:f>
        <x:v>0.4456052691346809</x:v>
      </x:c>
      <x:c r="E21" s="18" t="n">
        <x:f>'Turkiye'!D17</x:f>
        <x:v>0.4455968487048342</x:v>
      </x:c>
      <x:c r="F21" s="18" t="n">
        <x:f>'Turkiye'!E17</x:f>
        <x:v>0.44160034561160766</x:v>
      </x:c>
      <x:c r="G21" s="18" t="n">
        <x:f>'Turkiye'!F17</x:f>
        <x:v>0.4415667582324577</x:v>
      </x:c>
      <x:c r="H21" s="3"/>
      <x:c r="I21" s="3"/>
      <x:c r="J21" s="3"/>
    </x:row>
    <x:row r="22" ht="24" customHeight="1">
      <x:c r="A22" s="3"/>
      <x:c r="B22" s="12" t="str">
        <x:v>Türkiye</x:v>
      </x:c>
      <x:c r="C22" s="12" t="str">
        <x:v>tev1:4b</x:v>
      </x:c>
      <x:c r="D22" s="18" t="n">
        <x:f>'Turkiye'!C18</x:f>
        <x:v>0.6625028389734272</x:v>
      </x:c>
      <x:c r="E22" s="18" t="n">
        <x:f>'Turkiye'!D18</x:f>
        <x:v>0.6625045372050817</x:v>
      </x:c>
      <x:c r="F22" s="18" t="n">
        <x:f>'Turkiye'!E18</x:f>
        <x:v>0.6579680573949642</x:v>
      </x:c>
      <x:c r="G22" s="18" t="n">
        <x:f>'Turkiye'!F18</x:f>
        <x:v>0.6579525205986398</x:v>
      </x:c>
      <x:c r="H22" s="3"/>
      <x:c r="I22" s="3"/>
      <x:c r="J22" s="3"/>
    </x:row>
    <x:row r="23" ht="24" customHeight="1">
      <x:c r="A23" s="3"/>
      <x:c r="B23" s="12" t="str">
        <x:v>Türkiye</x:v>
      </x:c>
      <x:c r="C23" s="12" t="str">
        <x:v>typesafe/jev-1.13</x:v>
      </x:c>
      <x:c r="D23" s="19" t="n">
        <x:f>'Turkiye'!C19</x:f>
        <x:v>0.75584828526005</x:v>
      </x:c>
      <x:c r="E23" s="19" t="n">
        <x:f>'Turkiye'!D19</x:f>
        <x:v>0.7558241214321069</x:v>
      </x:c>
      <x:c r="F23" s="19" t="n">
        <x:f>'Turkiye'!E19</x:f>
        <x:v>0.7561817543236771</x:v>
      </x:c>
      <x:c r="G23" s="19" t="n">
        <x:f>'Turkiye'!F19</x:f>
        <x:v>0.7561937201671698</x:v>
      </x:c>
      <x:c r="H23" s="3"/>
      <x:c r="I23" s="3"/>
      <x:c r="J23" s="3"/>
    </x:row>
    <x:row r="24" ht="24" customHeight="1">
      <x:c r="A24" s="3"/>
      <x:c r="B24" s="26" t="str">
        <x:v>Indonesian</x:v>
      </x:c>
      <x:c r="C24" s="26" t="str">
        <x:v>nimble:9b</x:v>
      </x:c>
      <x:c r="D24" s="29" t="n">
        <x:f>'Indonesian'!C16</x:f>
        <x:v>0.7354076765841472</x:v>
      </x:c>
      <x:c r="E24" s="29" t="n">
        <x:f>'Indonesian'!D16</x:f>
        <x:v>0.7456868072756077</x:v>
      </x:c>
      <x:c r="F24" s="29" t="n">
        <x:f>'Indonesian'!E16</x:f>
        <x:v>0.7293039817580553</x:v>
      </x:c>
      <x:c r="G24" s="29" t="n">
        <x:f>'Indonesian'!F16</x:f>
        <x:v>0.7229239937737777</x:v>
      </x:c>
      <x:c r="H24" s="3"/>
      <x:c r="I24" s="3"/>
      <x:c r="J24" s="3"/>
    </x:row>
    <x:row r="25" ht="24" customHeight="1">
      <x:c r="A25" s="3"/>
      <x:c r="B25" s="12" t="str">
        <x:v>Indonesian</x:v>
      </x:c>
      <x:c r="C25" s="12" t="str">
        <x:v>tev1:0.8b</x:v>
      </x:c>
      <x:c r="D25" s="18" t="n">
        <x:f>'Indonesian'!C17</x:f>
        <x:v>0.61003861003861</x:v>
      </x:c>
      <x:c r="E25" s="18" t="n">
        <x:f>'Indonesian'!D17</x:f>
        <x:v>0.6098380083964551</x:v>
      </x:c>
      <x:c r="F25" s="18" t="n">
        <x:f>'Indonesian'!E17</x:f>
        <x:v>0.5991586996648655</x:v>
      </x:c>
      <x:c r="G25" s="18" t="n">
        <x:f>'Indonesian'!F17</x:f>
        <x:v>0.5895795574577072</x:v>
      </x:c>
      <x:c r="H25" s="3"/>
      <x:c r="I25" s="3"/>
      <x:c r="J25" s="3"/>
    </x:row>
    <x:row r="26" ht="24" customHeight="1">
      <x:c r="A26" s="3"/>
      <x:c r="B26" s="12" t="str">
        <x:v>Indonesian</x:v>
      </x:c>
      <x:c r="C26" s="12" t="str">
        <x:v>tev1:4b</x:v>
      </x:c>
      <x:c r="D26" s="18" t="n">
        <x:f>'Indonesian'!C18</x:f>
        <x:v>0.7369975017033841</x:v>
      </x:c>
      <x:c r="E26" s="18" t="n">
        <x:f>'Indonesian'!D18</x:f>
        <x:v>0.7414606934574517</x:v>
      </x:c>
      <x:c r="F26" s="18" t="n">
        <x:f>'Indonesian'!E18</x:f>
        <x:v>0.7342024579517497</x:v>
      </x:c>
      <x:c r="G26" s="18" t="n">
        <x:f>'Indonesian'!F18</x:f>
        <x:v>0.7272454736731437</x:v>
      </x:c>
      <x:c r="H26" s="3"/>
      <x:c r="I26" s="3"/>
      <x:c r="J26" s="3"/>
    </x:row>
    <x:row r="27" ht="24" customHeight="1">
      <x:c r="A27" s="3"/>
      <x:c r="B27" s="14" t="str">
        <x:v>Indonesian</x:v>
      </x:c>
      <x:c r="C27" s="14" t="str">
        <x:v>typesafe/jev-1.13</x:v>
      </x:c>
      <x:c r="D27" s="21" t="n">
        <x:f>'Indonesian'!C19</x:f>
        <x:v>0.7790143084260731</x:v>
      </x:c>
      <x:c r="E27" s="21" t="n">
        <x:f>'Indonesian'!D19</x:f>
        <x:v>0.7901531821063534</x:v>
      </x:c>
      <x:c r="F27" s="21" t="n">
        <x:f>'Indonesian'!E19</x:f>
        <x:v>0.7763329270486458</x:v>
      </x:c>
      <x:c r="G27" s="21" t="n">
        <x:f>'Indonesian'!F19</x:f>
        <x:v>0.7732888489158438</x:v>
      </x:c>
      <x:c r="H27" s="3"/>
      <x:c r="I27" s="3"/>
      <x:c r="J27" s="3"/>
    </x:row>
    <x:row r="28" ht="24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</x:row>
    <x:row r="29" ht="24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</x:row>
    <x:row r="30" ht="29" customHeight="1">
      <x:c r="A30" s="3"/>
      <x:c r="B30" s="4" t="str">
        <x:v>TABLE 3.</x:v>
      </x:c>
      <x:c r="C30" s="5" t="str">
        <x:v>Sentiment confidence intervals.</x:v>
      </x:c>
      <x:c r="D30" s="5"/>
      <x:c r="E30" s="5"/>
      <x:c r="F30" s="5"/>
      <x:c r="G30" s="5"/>
      <x:c r="H30" s="3"/>
      <x:c r="I30" s="3"/>
      <x:c r="J30" s="3"/>
    </x:row>
    <x:row r="31" ht="21" customHeight="1">
      <x:c r="A31" s="3"/>
      <x:c r="B31" s="6" t="str">
        <x:v>Türkiye: sentiment_tr, n = 12,760; Indonesian: sentiment, n = 12,760</x:v>
      </x:c>
      <x:c r="C31" s="6"/>
      <x:c r="D31" s="6"/>
      <x:c r="E31" s="6"/>
      <x:c r="F31" s="6"/>
      <x:c r="G31" s="6"/>
      <x:c r="H31" s="3"/>
      <x:c r="I31" s="3"/>
      <x:c r="J31" s="3"/>
    </x:row>
    <x:row r="32" ht="9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</x:row>
    <x:row r="33" ht="42" customHeight="1">
      <x:c r="A33" s="3"/>
      <x:c r="B33" s="11" t="str">
        <x:v>Country</x:v>
      </x:c>
      <x:c r="C33" s="11" t="str">
        <x:v>Model</x:v>
      </x:c>
      <x:c r="D33" s="10" t="str">
        <x:v>Accuracy
Lower</x:v>
      </x:c>
      <x:c r="E33" s="10" t="str">
        <x:v>Accuracy
Upper</x:v>
      </x:c>
      <x:c r="F33" s="10" t="str">
        <x:v>Macro-F1
Lower</x:v>
      </x:c>
      <x:c r="G33" s="10" t="str">
        <x:v>Macro-F1
Upper</x:v>
      </x:c>
      <x:c r="H33" s="3"/>
      <x:c r="I33" s="3"/>
      <x:c r="J33" s="3"/>
    </x:row>
    <x:row r="34" ht="24" customHeight="1">
      <x:c r="A34" s="3"/>
      <x:c r="B34" s="12" t="str">
        <x:v>Türkiye</x:v>
      </x:c>
      <x:c r="C34" s="12" t="str">
        <x:v>nimble:9b</x:v>
      </x:c>
      <x:c r="D34" s="16" t="n">
        <x:f>'Turkiye'!C26</x:f>
        <x:v>0.770685736677116</x:v>
      </x:c>
      <x:c r="E34" s="16" t="n">
        <x:f>'Turkiye'!D26</x:f>
        <x:v>0.7813479623824452</x:v>
      </x:c>
      <x:c r="F34" s="16" t="n">
        <x:f>'Turkiye'!E26</x:f>
        <x:v>0.6172150210693468</x:v>
      </x:c>
      <x:c r="G34" s="16" t="n">
        <x:f>'Turkiye'!F26</x:f>
        <x:v>0.6335706053728195</x:v>
      </x:c>
      <x:c r="H34" s="3"/>
      <x:c r="I34" s="3"/>
      <x:c r="J34" s="3"/>
    </x:row>
    <x:row r="35" ht="24" customHeight="1">
      <x:c r="A35" s="3"/>
      <x:c r="B35" s="12" t="str">
        <x:v>Türkiye</x:v>
      </x:c>
      <x:c r="C35" s="12" t="str">
        <x:v>tev1:0.8b</x:v>
      </x:c>
      <x:c r="D35" s="16" t="n">
        <x:f>'Turkiye'!C27</x:f>
        <x:v>0.7230407523510972</x:v>
      </x:c>
      <x:c r="E35" s="16" t="n">
        <x:f>'Turkiye'!D27</x:f>
        <x:v>0.7358934169278997</x:v>
      </x:c>
      <x:c r="F35" s="16" t="n">
        <x:f>'Turkiye'!E27</x:f>
        <x:v>0.599522534207368</x:v>
      </x:c>
      <x:c r="G35" s="16" t="n">
        <x:f>'Turkiye'!F27</x:f>
        <x:v>0.6168129747375256</x:v>
      </x:c>
      <x:c r="H35" s="3"/>
      <x:c r="I35" s="3"/>
      <x:c r="J35" s="3"/>
    </x:row>
    <x:row r="36" ht="24" customHeight="1">
      <x:c r="A36" s="3"/>
      <x:c r="B36" s="12" t="str">
        <x:v>Türkiye</x:v>
      </x:c>
      <x:c r="C36" s="12" t="str">
        <x:v>tev1:4b</x:v>
      </x:c>
      <x:c r="D36" s="16" t="n">
        <x:f>'Turkiye'!C28</x:f>
        <x:v>0.7815027429467085</x:v>
      </x:c>
      <x:c r="E36" s="16" t="n">
        <x:f>'Turkiye'!D28</x:f>
        <x:v>0.7933405172413793</x:v>
      </x:c>
      <x:c r="F36" s="16" t="n">
        <x:f>'Turkiye'!E28</x:f>
        <x:v>0.6659518960305314</x:v>
      </x:c>
      <x:c r="G36" s="16" t="n">
        <x:f>'Turkiye'!F28</x:f>
        <x:v>0.6843328072057725</x:v>
      </x:c>
      <x:c r="H36" s="3"/>
      <x:c r="I36" s="3"/>
      <x:c r="J36" s="3"/>
    </x:row>
    <x:row r="37" ht="24" customHeight="1">
      <x:c r="A37" s="3"/>
      <x:c r="B37" s="12" t="str">
        <x:v>Türkiye</x:v>
      </x:c>
      <x:c r="C37" s="12" t="str">
        <x:v>typesafe/jev-1.13</x:v>
      </x:c>
      <x:c r="D37" s="16" t="n">
        <x:f>'Turkiye'!C29</x:f>
        <x:v>0.7693573667711598</x:v>
      </x:c>
      <x:c r="E37" s="16" t="n">
        <x:f>'Turkiye'!D29</x:f>
        <x:v>0.7797805642633229</x:v>
      </x:c>
      <x:c r="F37" s="16" t="n">
        <x:f>'Turkiye'!E29</x:f>
        <x:v>0.6034083109370219</x:v>
      </x:c>
      <x:c r="G37" s="16" t="n">
        <x:f>'Turkiye'!F29</x:f>
        <x:v>0.6202707542559104</x:v>
      </x:c>
      <x:c r="H37" s="3"/>
      <x:c r="I37" s="3"/>
      <x:c r="J37" s="3"/>
    </x:row>
    <x:row r="38" ht="24" customHeight="1">
      <x:c r="A38" s="3"/>
      <x:c r="B38" s="26" t="str">
        <x:v>Indonesian</x:v>
      </x:c>
      <x:c r="C38" s="26" t="str">
        <x:v>nimble:9b</x:v>
      </x:c>
      <x:c r="D38" s="28" t="n">
        <x:f>'Indonesian'!C26</x:f>
        <x:v>0.8822100313479624</x:v>
      </x:c>
      <x:c r="E38" s="28" t="n">
        <x:f>'Indonesian'!D26</x:f>
        <x:v>0.8925215517241379</x:v>
      </x:c>
      <x:c r="F38" s="28" t="n">
        <x:f>'Indonesian'!E26</x:f>
        <x:v>0.8076867150111436</x:v>
      </x:c>
      <x:c r="G38" s="28" t="n">
        <x:f>'Indonesian'!F26</x:f>
        <x:v>0.8244974067753217</x:v>
      </x:c>
      <x:c r="H38" s="3"/>
      <x:c r="I38" s="3"/>
      <x:c r="J38" s="3"/>
    </x:row>
    <x:row r="39" ht="24" customHeight="1">
      <x:c r="A39" s="3"/>
      <x:c r="B39" s="12" t="str">
        <x:v>Indonesian</x:v>
      </x:c>
      <x:c r="C39" s="12" t="str">
        <x:v>tev1:0.8b</x:v>
      </x:c>
      <x:c r="D39" s="16" t="n">
        <x:f>'Indonesian'!C27</x:f>
        <x:v>0.7849118338557993</x:v>
      </x:c>
      <x:c r="E39" s="16" t="n">
        <x:f>'Indonesian'!D27</x:f>
        <x:v>0.7985148902821316</x:v>
      </x:c>
      <x:c r="F39" s="16" t="n">
        <x:f>'Indonesian'!E27</x:f>
        <x:v>0.6845606552080068</x:v>
      </x:c>
      <x:c r="G39" s="16" t="n">
        <x:f>'Indonesian'!F27</x:f>
        <x:v>0.7018003724273049</x:v>
      </x:c>
      <x:c r="H39" s="3"/>
      <x:c r="I39" s="3"/>
      <x:c r="J39" s="3"/>
    </x:row>
    <x:row r="40" ht="24" customHeight="1">
      <x:c r="A40" s="3"/>
      <x:c r="B40" s="12" t="str">
        <x:v>Indonesian</x:v>
      </x:c>
      <x:c r="C40" s="12" t="str">
        <x:v>tev1:4b</x:v>
      </x:c>
      <x:c r="D40" s="16" t="n">
        <x:f>'Indonesian'!C28</x:f>
        <x:v>0.8606916144200627</x:v>
      </x:c>
      <x:c r="E40" s="16" t="n">
        <x:f>'Indonesian'!D28</x:f>
        <x:v>0.8723765673981191</x:v>
      </x:c>
      <x:c r="F40" s="16" t="n">
        <x:f>'Indonesian'!E28</x:f>
        <x:v>0.7896807629999933</x:v>
      </x:c>
      <x:c r="G40" s="16" t="n">
        <x:f>'Indonesian'!F28</x:f>
        <x:v>0.8050750403686845</x:v>
      </x:c>
      <x:c r="H40" s="3"/>
      <x:c r="I40" s="3"/>
      <x:c r="J40" s="3"/>
    </x:row>
    <x:row r="41" ht="24" customHeight="1">
      <x:c r="A41" s="3"/>
      <x:c r="B41" s="14" t="str">
        <x:v>Indonesian</x:v>
      </x:c>
      <x:c r="C41" s="14" t="str">
        <x:v>typesafe/jev-1.13</x:v>
      </x:c>
      <x:c r="D41" s="17" t="n">
        <x:f>'Indonesian'!C29</x:f>
        <x:v>0.8825979623824451</x:v>
      </x:c>
      <x:c r="E41" s="17" t="n">
        <x:f>'Indonesian'!D29</x:f>
        <x:v>0.8933836206896552</x:v>
      </x:c>
      <x:c r="F41" s="17" t="n">
        <x:f>'Indonesian'!E29</x:f>
        <x:v>0.8106486340073024</x:v>
      </x:c>
      <x:c r="G41" s="17" t="n">
        <x:f>'Indonesian'!F29</x:f>
        <x:v>0.8276170801456971</x:v>
      </x:c>
      <x:c r="H41" s="3"/>
      <x:c r="I41" s="3"/>
      <x:c r="J41" s="3"/>
    </x:row>
    <x:row r="42" ht="24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</x:row>
    <x:row r="43" ht="24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</x:row>
    <x:row r="44" ht="29" customHeight="1">
      <x:c r="A44" s="3"/>
      <x:c r="B44" s="4" t="str">
        <x:v>TABLE 4.</x:v>
      </x:c>
      <x:c r="C44" s="5" t="str">
        <x:v>Emotion confidence intervals.</x:v>
      </x:c>
      <x:c r="D44" s="5"/>
      <x:c r="E44" s="5"/>
      <x:c r="F44" s="5"/>
      <x:c r="G44" s="5"/>
      <x:c r="H44" s="3"/>
      <x:c r="I44" s="3"/>
      <x:c r="J44" s="3"/>
    </x:row>
    <x:row r="45" ht="21" customHeight="1">
      <x:c r="A45" s="3"/>
      <x:c r="B45" s="6" t="str">
        <x:v>Türkiye: emotion_tr, n = 4,403; Indonesian: emotion, n = 4,403</x:v>
      </x:c>
      <x:c r="C45" s="6"/>
      <x:c r="D45" s="6"/>
      <x:c r="E45" s="6"/>
      <x:c r="F45" s="6"/>
      <x:c r="G45" s="6"/>
      <x:c r="H45" s="3"/>
      <x:c r="I45" s="3"/>
      <x:c r="J45" s="3"/>
    </x:row>
    <x:row r="46" ht="9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</x:row>
    <x:row r="47" ht="42" customHeight="1">
      <x:c r="A47" s="3"/>
      <x:c r="B47" s="11" t="str">
        <x:v>Country</x:v>
      </x:c>
      <x:c r="C47" s="11" t="str">
        <x:v>Model</x:v>
      </x:c>
      <x:c r="D47" s="10" t="str">
        <x:v>Accuracy
Lower</x:v>
      </x:c>
      <x:c r="E47" s="10" t="str">
        <x:v>Accuracy
Upper</x:v>
      </x:c>
      <x:c r="F47" s="10" t="str">
        <x:v>Macro-F1
Lower</x:v>
      </x:c>
      <x:c r="G47" s="10" t="str">
        <x:v>Macro-F1
Upper</x:v>
      </x:c>
      <x:c r="H47" s="3"/>
      <x:c r="I47" s="3"/>
      <x:c r="J47" s="3"/>
    </x:row>
    <x:row r="48" ht="24" customHeight="1">
      <x:c r="A48" s="3"/>
      <x:c r="B48" s="12" t="str">
        <x:v>Türkiye</x:v>
      </x:c>
      <x:c r="C48" s="12" t="str">
        <x:v>nimble:9b</x:v>
      </x:c>
      <x:c r="D48" s="16" t="n">
        <x:f>'Turkiye'!C36</x:f>
        <x:v>0.7006529638882579</x:v>
      </x:c>
      <x:c r="E48" s="16" t="n">
        <x:f>'Turkiye'!D36</x:f>
        <x:v>0.7265500794912559</x:v>
      </x:c>
      <x:c r="F48" s="16" t="n">
        <x:f>'Turkiye'!E36</x:f>
        <x:v>0.6980687000011012</x:v>
      </x:c>
      <x:c r="G48" s="16" t="n">
        <x:f>'Turkiye'!F36</x:f>
        <x:v>0.7246624847474609</x:v>
      </x:c>
      <x:c r="H48" s="3"/>
      <x:c r="I48" s="3"/>
      <x:c r="J48" s="3"/>
    </x:row>
    <x:row r="49" ht="24" customHeight="1">
      <x:c r="A49" s="3"/>
      <x:c r="B49" s="12" t="str">
        <x:v>Türkiye</x:v>
      </x:c>
      <x:c r="C49" s="12" t="str">
        <x:v>tev1:0.8b</x:v>
      </x:c>
      <x:c r="D49" s="16" t="n">
        <x:f>'Turkiye'!C37</x:f>
        <x:v>0.43265955030660913</x:v>
      </x:c>
      <x:c r="E49" s="16" t="n">
        <x:f>'Turkiye'!D37</x:f>
        <x:v>0.4590052237111061</x:v>
      </x:c>
      <x:c r="F49" s="16" t="n">
        <x:f>'Turkiye'!E37</x:f>
        <x:v>0.4273256718900786</x:v>
      </x:c>
      <x:c r="G49" s="16" t="n">
        <x:f>'Turkiye'!F37</x:f>
        <x:v>0.45540126068180886</x:v>
      </x:c>
      <x:c r="H49" s="3"/>
      <x:c r="I49" s="3"/>
      <x:c r="J49" s="3"/>
    </x:row>
    <x:row r="50" ht="24" customHeight="1">
      <x:c r="A50" s="3"/>
      <x:c r="B50" s="12" t="str">
        <x:v>Türkiye</x:v>
      </x:c>
      <x:c r="C50" s="12" t="str">
        <x:v>tev1:4b</x:v>
      </x:c>
      <x:c r="D50" s="16" t="n">
        <x:f>'Turkiye'!C38</x:f>
        <x:v>0.6495571201453555</x:v>
      </x:c>
      <x:c r="E50" s="16" t="n">
        <x:f>'Turkiye'!D38</x:f>
        <x:v>0.6756756756756757</x:v>
      </x:c>
      <x:c r="F50" s="16" t="n">
        <x:f>'Turkiye'!E38</x:f>
        <x:v>0.6445261665880212</x:v>
      </x:c>
      <x:c r="G50" s="16" t="n">
        <x:f>'Turkiye'!F38</x:f>
        <x:v>0.6709989772261676</x:v>
      </x:c>
      <x:c r="H50" s="3"/>
      <x:c r="I50" s="3"/>
      <x:c r="J50" s="3"/>
    </x:row>
    <x:row r="51" ht="24" customHeight="1">
      <x:c r="A51" s="3"/>
      <x:c r="B51" s="12" t="str">
        <x:v>Türkiye</x:v>
      </x:c>
      <x:c r="C51" s="12" t="str">
        <x:v>typesafe/jev-1.13</x:v>
      </x:c>
      <x:c r="D51" s="16" t="n">
        <x:f>'Turkiye'!C39</x:f>
        <x:v>0.7422155348625936</x:v>
      </x:c>
      <x:c r="E51" s="16" t="n">
        <x:f>'Turkiye'!D39</x:f>
        <x:v>0.7676584147172383</x:v>
      </x:c>
      <x:c r="F51" s="16" t="n">
        <x:f>'Turkiye'!E39</x:f>
        <x:v>0.7421672060650313</x:v>
      </x:c>
      <x:c r="G51" s="16" t="n">
        <x:f>'Turkiye'!F39</x:f>
        <x:v>0.767915349264944</x:v>
      </x:c>
      <x:c r="H51" s="3"/>
      <x:c r="I51" s="3"/>
      <x:c r="J51" s="3"/>
    </x:row>
    <x:row r="52" ht="24" customHeight="1">
      <x:c r="A52" s="3"/>
      <x:c r="B52" s="26" t="str">
        <x:v>Indonesian</x:v>
      </x:c>
      <x:c r="C52" s="26" t="str">
        <x:v>nimble:9b</x:v>
      </x:c>
      <x:c r="D52" s="28" t="n">
        <x:f>'Indonesian'!C36</x:f>
        <x:v>0.7232511923688394</x:v>
      </x:c>
      <x:c r="E52" s="28" t="n">
        <x:f>'Indonesian'!D36</x:f>
        <x:v>0.7471099250511015</x:v>
      </x:c>
      <x:c r="F52" s="28" t="n">
        <x:f>'Indonesian'!E36</x:f>
        <x:v>0.7165774440518634</x:v>
      </x:c>
      <x:c r="G52" s="28" t="n">
        <x:f>'Indonesian'!F36</x:f>
        <x:v>0.7417999296857424</x:v>
      </x:c>
      <x:c r="H52" s="3"/>
      <x:c r="I52" s="3"/>
      <x:c r="J52" s="3"/>
    </x:row>
    <x:row r="53" ht="24" customHeight="1">
      <x:c r="A53" s="3"/>
      <x:c r="B53" s="12" t="str">
        <x:v>Indonesian</x:v>
      </x:c>
      <x:c r="C53" s="12" t="str">
        <x:v>tev1:0.8b</x:v>
      </x:c>
      <x:c r="D53" s="16" t="n">
        <x:f>'Indonesian'!C37</x:f>
        <x:v>0.5977742448330684</x:v>
      </x:c>
      <x:c r="E53" s="16" t="n">
        <x:f>'Indonesian'!D37</x:f>
        <x:v>0.6232114467408585</x:v>
      </x:c>
      <x:c r="F53" s="16" t="n">
        <x:f>'Indonesian'!E37</x:f>
        <x:v>0.5849601611679426</x:v>
      </x:c>
      <x:c r="G53" s="16" t="n">
        <x:f>'Indonesian'!F37</x:f>
        <x:v>0.6143155109060797</x:v>
      </x:c>
      <x:c r="H53" s="3"/>
      <x:c r="I53" s="3"/>
      <x:c r="J53" s="3"/>
    </x:row>
    <x:row r="54" ht="24" customHeight="1">
      <x:c r="A54" s="3"/>
      <x:c r="B54" s="12" t="str">
        <x:v>Indonesian</x:v>
      </x:c>
      <x:c r="C54" s="12" t="str">
        <x:v>tev1:4b</x:v>
      </x:c>
      <x:c r="D54" s="16" t="n">
        <x:f>'Indonesian'!C38</x:f>
        <x:v>0.7252952532364297</x:v>
      </x:c>
      <x:c r="E54" s="16" t="n">
        <x:f>'Indonesian'!D38</x:f>
        <x:v>0.7497161026572792</x:v>
      </x:c>
      <x:c r="F54" s="16" t="n">
        <x:f>'Indonesian'!E38</x:f>
        <x:v>0.7224211248045866</x:v>
      </x:c>
      <x:c r="G54" s="16" t="n">
        <x:f>'Indonesian'!F38</x:f>
        <x:v>0.7478181892313951</x:v>
      </x:c>
      <x:c r="H54" s="3"/>
      <x:c r="I54" s="3"/>
      <x:c r="J54" s="3"/>
    </x:row>
    <x:row r="55" ht="24" customHeight="1">
      <x:c r="A55" s="3"/>
      <x:c r="B55" s="14" t="str">
        <x:v>Indonesian</x:v>
      </x:c>
      <x:c r="C55" s="14" t="str">
        <x:v>typesafe/jev-1.13</x:v>
      </x:c>
      <x:c r="D55" s="17" t="n">
        <x:f>'Indonesian'!C39</x:f>
        <x:v>0.7673120599591188</x:v>
      </x:c>
      <x:c r="E55" s="17" t="n">
        <x:f>'Indonesian'!D39</x:f>
        <x:v>0.7901544401544401</x:v>
      </x:c>
      <x:c r="F55" s="17" t="n">
        <x:f>'Indonesian'!E39</x:f>
        <x:v>0.7643556028384587</x:v>
      </x:c>
      <x:c r="G55" s="17" t="n">
        <x:f>'Indonesian'!F39</x:f>
        <x:v>0.7878237936090723</x:v>
      </x:c>
      <x:c r="H55" s="3"/>
      <x:c r="I55" s="3"/>
      <x:c r="J55" s="3"/>
    </x:row>
    <x:row r="56" ht="24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</x:row>
    <x:row r="57" ht="24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</x:row>
    <x:row r="58" ht="29" customHeight="1">
      <x:c r="A58" s="3"/>
      <x:c r="B58" s="4" t="str">
        <x:v>TABLE 5.</x:v>
      </x:c>
      <x:c r="C58" s="5" t="str">
        <x:v>Sentiment probability and calibration.</x:v>
      </x:c>
      <x:c r="D58" s="5"/>
      <x:c r="E58" s="5"/>
      <x:c r="F58" s="5"/>
      <x:c r="G58" s="5"/>
      <x:c r="H58" s="5"/>
      <x:c r="I58" s="3"/>
      <x:c r="J58" s="3"/>
    </x:row>
    <x:row r="59" ht="21" customHeight="1">
      <x:c r="A59" s="3"/>
      <x:c r="B59" s="6" t="str">
        <x:v>Türkiye: sentiment_tr, n = 12,760; Indonesian: sentiment, n = 12,760</x:v>
      </x:c>
      <x:c r="C59" s="6"/>
      <x:c r="D59" s="6"/>
      <x:c r="E59" s="6"/>
      <x:c r="F59" s="6"/>
      <x:c r="G59" s="6"/>
      <x:c r="H59" s="6"/>
      <x:c r="I59" s="3"/>
      <x:c r="J59" s="3"/>
    </x:row>
    <x:row r="60" ht="9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</x:row>
    <x:row r="61" ht="42" customHeight="1">
      <x:c r="A61" s="3"/>
      <x:c r="B61" s="11" t="str">
        <x:v>Country</x:v>
      </x:c>
      <x:c r="C61" s="11" t="str">
        <x:v>Model</x:v>
      </x:c>
      <x:c r="D61" s="10" t="str">
        <x:v>Log Loss</x:v>
      </x:c>
      <x:c r="E61" s="10" t="str">
        <x:v>Multiclass
Brier</x:v>
      </x:c>
      <x:c r="F61" s="10" t="str">
        <x:v>ECE</x:v>
      </x:c>
      <x:c r="G61" s="10" t="str">
        <x:v>Probability
Coverage</x:v>
      </x:c>
      <x:c r="H61" s="10" t="str">
        <x:v>Max. Probability
Sum Error</x:v>
      </x:c>
      <x:c r="I61" s="3"/>
      <x:c r="J61" s="3"/>
    </x:row>
    <x:row r="62" ht="24" customHeight="1">
      <x:c r="A62" s="3"/>
      <x:c r="B62" s="12" t="str">
        <x:v>Türkiye</x:v>
      </x:c>
      <x:c r="C62" s="12" t="str">
        <x:v>nimble:9b</x:v>
      </x:c>
      <x:c r="D62" s="18" t="n">
        <x:f>'Turkiye'!C46</x:f>
        <x:v>0.761947937878951</x:v>
      </x:c>
      <x:c r="E62" s="18" t="n">
        <x:f>'Turkiye'!D46</x:f>
        <x:v>0.35801805200552733</x:v>
      </x:c>
      <x:c r="F62" s="18" t="n">
        <x:f>'Turkiye'!E46</x:f>
        <x:v>0.14072258433503737</x:v>
      </x:c>
      <x:c r="G62" s="19" t="n">
        <x:f>'Turkiye'!F46</x:f>
        <x:v>1</x:v>
      </x:c>
      <x:c r="H62" s="22" t="n">
        <x:f>'Turkiye'!G46</x:f>
        <x:v>3.3306690738754696e-16</x:v>
      </x:c>
      <x:c r="I62" s="3"/>
      <x:c r="J62" s="3"/>
    </x:row>
    <x:row r="63" ht="24" customHeight="1">
      <x:c r="A63" s="3"/>
      <x:c r="B63" s="12" t="str">
        <x:v>Türkiye</x:v>
      </x:c>
      <x:c r="C63" s="12" t="str">
        <x:v>tev1:0.8b</x:v>
      </x:c>
      <x:c r="D63" s="18" t="n">
        <x:f>'Turkiye'!C47</x:f>
        <x:v>0.677999424567297</x:v>
      </x:c>
      <x:c r="E63" s="18" t="n">
        <x:f>'Turkiye'!D47</x:f>
        <x:v>0.3735212024177501</x:v>
      </x:c>
      <x:c r="F63" s="18" t="n">
        <x:f>'Turkiye'!E47</x:f>
        <x:v>0.06740689185815842</x:v>
      </x:c>
      <x:c r="G63" s="19" t="n">
        <x:f>'Turkiye'!F47</x:f>
        <x:v>1</x:v>
      </x:c>
      <x:c r="H63" s="22" t="n">
        <x:f>'Turkiye'!G47</x:f>
        <x:v>3.3306690738754696e-16</x:v>
      </x:c>
      <x:c r="I63" s="3"/>
      <x:c r="J63" s="3"/>
    </x:row>
    <x:row r="64" ht="24" customHeight="1">
      <x:c r="A64" s="3"/>
      <x:c r="B64" s="12" t="str">
        <x:v>Türkiye</x:v>
      </x:c>
      <x:c r="C64" s="12" t="str">
        <x:v>tev1:4b</x:v>
      </x:c>
      <x:c r="D64" s="19" t="n">
        <x:f>'Turkiye'!C48</x:f>
        <x:v>0.5445676041629279</x:v>
      </x:c>
      <x:c r="E64" s="19" t="n">
        <x:f>'Turkiye'!D48</x:f>
        <x:v>0.29825601668910384</x:v>
      </x:c>
      <x:c r="F64" s="19" t="n">
        <x:f>'Turkiye'!E48</x:f>
        <x:v>0.050548261535839564</x:v>
      </x:c>
      <x:c r="G64" s="19" t="n">
        <x:f>'Turkiye'!F48</x:f>
        <x:v>1</x:v>
      </x:c>
      <x:c r="H64" s="22" t="n">
        <x:f>'Turkiye'!G48</x:f>
        <x:v>3.3306690738754696e-16</x:v>
      </x:c>
      <x:c r="I64" s="3"/>
      <x:c r="J64" s="3"/>
    </x:row>
    <x:row r="65" ht="24" customHeight="1">
      <x:c r="A65" s="3"/>
      <x:c r="B65" s="12" t="str">
        <x:v>Türkiye</x:v>
      </x:c>
      <x:c r="C65" s="12" t="str">
        <x:v>typesafe/jev-1.13</x:v>
      </x:c>
      <x:c r="D65" s="18" t="n">
        <x:f>'Turkiye'!C49</x:f>
        <x:v>2.1904085598807197</x:v>
      </x:c>
      <x:c r="E65" s="18" t="n">
        <x:f>'Turkiye'!D49</x:f>
        <x:v>0.357801252767055</x:v>
      </x:c>
      <x:c r="F65" s="18" t="n">
        <x:f>'Turkiye'!E49</x:f>
        <x:v>0.14183754472625942</x:v>
      </x:c>
      <x:c r="G65" s="19" t="n">
        <x:f>'Turkiye'!F49</x:f>
        <x:v>1</x:v>
      </x:c>
      <x:c r="H65" s="22" t="n">
        <x:f>'Turkiye'!G49</x:f>
        <x:v>0.010000000000000009</x:v>
      </x:c>
      <x:c r="I65" s="3"/>
      <x:c r="J65" s="3"/>
    </x:row>
    <x:row r="66" ht="24" customHeight="1">
      <x:c r="A66" s="3"/>
      <x:c r="B66" s="26" t="str">
        <x:v>Indonesian</x:v>
      </x:c>
      <x:c r="C66" s="26" t="str">
        <x:v>nimble:9b</x:v>
      </x:c>
      <x:c r="D66" s="30" t="n">
        <x:f>'Indonesian'!C46</x:f>
        <x:v>0.3416456214555594</x:v>
      </x:c>
      <x:c r="E66" s="30" t="n">
        <x:f>'Indonesian'!D46</x:f>
        <x:v>0.1719172610928429</x:v>
      </x:c>
      <x:c r="F66" s="29" t="n">
        <x:f>'Indonesian'!E46</x:f>
        <x:v>0.0406686671417556</x:v>
      </x:c>
      <x:c r="G66" s="30" t="n">
        <x:f>'Indonesian'!F46</x:f>
        <x:v>1</x:v>
      </x:c>
      <x:c r="H66" s="31" t="n">
        <x:f>'Indonesian'!G46</x:f>
        <x:v>3.3306690738754696e-16</x:v>
      </x:c>
      <x:c r="I66" s="3"/>
      <x:c r="J66" s="3"/>
    </x:row>
    <x:row r="67" ht="24" customHeight="1">
      <x:c r="A67" s="3"/>
      <x:c r="B67" s="12" t="str">
        <x:v>Indonesian</x:v>
      </x:c>
      <x:c r="C67" s="12" t="str">
        <x:v>tev1:0.8b</x:v>
      </x:c>
      <x:c r="D67" s="18" t="n">
        <x:f>'Indonesian'!C47</x:f>
        <x:v>0.5190346811186619</x:v>
      </x:c>
      <x:c r="E67" s="18" t="n">
        <x:f>'Indonesian'!D47</x:f>
        <x:v>0.2822794339585787</x:v>
      </x:c>
      <x:c r="F67" s="18" t="n">
        <x:f>'Indonesian'!E47</x:f>
        <x:v>0.031554809039998</x:v>
      </x:c>
      <x:c r="G67" s="19" t="n">
        <x:f>'Indonesian'!F47</x:f>
        <x:v>1</x:v>
      </x:c>
      <x:c r="H67" s="22" t="n">
        <x:f>'Indonesian'!G47</x:f>
        <x:v>3.3306690738754696e-16</x:v>
      </x:c>
      <x:c r="I67" s="3"/>
      <x:c r="J67" s="3"/>
    </x:row>
    <x:row r="68" ht="24" customHeight="1">
      <x:c r="A68" s="3"/>
      <x:c r="B68" s="12" t="str">
        <x:v>Indonesian</x:v>
      </x:c>
      <x:c r="C68" s="12" t="str">
        <x:v>tev1:4b</x:v>
      </x:c>
      <x:c r="D68" s="18" t="n">
        <x:f>'Indonesian'!C48</x:f>
        <x:v>0.3814993821634976</x:v>
      </x:c>
      <x:c r="E68" s="18" t="n">
        <x:f>'Indonesian'!D48</x:f>
        <x:v>0.1946245528866463</x:v>
      </x:c>
      <x:c r="F68" s="19" t="n">
        <x:f>'Indonesian'!E48</x:f>
        <x:v>0.0294906862749584</x:v>
      </x:c>
      <x:c r="G68" s="19" t="n">
        <x:f>'Indonesian'!F48</x:f>
        <x:v>1</x:v>
      </x:c>
      <x:c r="H68" s="22" t="n">
        <x:f>'Indonesian'!G48</x:f>
        <x:v>3.3306690738754696e-16</x:v>
      </x:c>
      <x:c r="I68" s="3"/>
      <x:c r="J68" s="3"/>
    </x:row>
    <x:row r="69" ht="24" customHeight="1">
      <x:c r="A69" s="3"/>
      <x:c r="B69" s="14" t="str">
        <x:v>Indonesian</x:v>
      </x:c>
      <x:c r="C69" s="14" t="str">
        <x:v>typesafe/jev-1.13</x:v>
      </x:c>
      <x:c r="D69" s="20" t="n">
        <x:f>'Indonesian'!C49</x:f>
        <x:v>1.0846867415806558</x:v>
      </x:c>
      <x:c r="E69" s="20" t="n">
        <x:f>'Indonesian'!D49</x:f>
        <x:v>0.1745440697657682</x:v>
      </x:c>
      <x:c r="F69" s="20" t="n">
        <x:f>'Indonesian'!E49</x:f>
        <x:v>0.0527478943035369</x:v>
      </x:c>
      <x:c r="G69" s="21" t="n">
        <x:f>'Indonesian'!F49</x:f>
        <x:v>1</x:v>
      </x:c>
      <x:c r="H69" s="23" t="n">
        <x:f>'Indonesian'!G49</x:f>
        <x:v>0.01</x:v>
      </x:c>
      <x:c r="I69" s="3"/>
      <x:c r="J69" s="3"/>
    </x:row>
    <x:row r="70" ht="24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</x:row>
    <x:row r="71" ht="24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</x:row>
    <x:row r="72" ht="29" customHeight="1">
      <x:c r="A72" s="3"/>
      <x:c r="B72" s="4" t="str">
        <x:v>TABLE 6.</x:v>
      </x:c>
      <x:c r="C72" s="5" t="str">
        <x:v>Emotion probability and calibration.</x:v>
      </x:c>
      <x:c r="D72" s="5"/>
      <x:c r="E72" s="5"/>
      <x:c r="F72" s="5"/>
      <x:c r="G72" s="5"/>
      <x:c r="H72" s="5"/>
      <x:c r="I72" s="3"/>
      <x:c r="J72" s="3"/>
    </x:row>
    <x:row r="73" ht="21" customHeight="1">
      <x:c r="A73" s="3"/>
      <x:c r="B73" s="6" t="str">
        <x:v>Türkiye: emotion_tr, n = 4,403; Indonesian: emotion, n = 4,403</x:v>
      </x:c>
      <x:c r="C73" s="6"/>
      <x:c r="D73" s="6"/>
      <x:c r="E73" s="6"/>
      <x:c r="F73" s="6"/>
      <x:c r="G73" s="6"/>
      <x:c r="H73" s="6"/>
      <x:c r="I73" s="3"/>
      <x:c r="J73" s="3"/>
    </x:row>
    <x:row r="74" ht="9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</x:row>
    <x:row r="75" ht="42" customHeight="1">
      <x:c r="A75" s="3"/>
      <x:c r="B75" s="11" t="str">
        <x:v>Country</x:v>
      </x:c>
      <x:c r="C75" s="11" t="str">
        <x:v>Model</x:v>
      </x:c>
      <x:c r="D75" s="10" t="str">
        <x:v>Log Loss</x:v>
      </x:c>
      <x:c r="E75" s="10" t="str">
        <x:v>Multiclass
Brier</x:v>
      </x:c>
      <x:c r="F75" s="10" t="str">
        <x:v>ECE</x:v>
      </x:c>
      <x:c r="G75" s="10" t="str">
        <x:v>Probability
Coverage</x:v>
      </x:c>
      <x:c r="H75" s="10" t="str">
        <x:v>Max. Probability
Sum Error</x:v>
      </x:c>
      <x:c r="I75" s="3"/>
      <x:c r="J75" s="3"/>
    </x:row>
    <x:row r="76" ht="24" customHeight="1">
      <x:c r="A76" s="3"/>
      <x:c r="B76" s="12" t="str">
        <x:v>Türkiye</x:v>
      </x:c>
      <x:c r="C76" s="12" t="str">
        <x:v>nimble:9b</x:v>
      </x:c>
      <x:c r="D76" s="19" t="n">
        <x:f>'Turkiye'!C56</x:f>
        <x:v>0.9507896767117473</x:v>
      </x:c>
      <x:c r="E76" s="18" t="n">
        <x:f>'Turkiye'!D56</x:f>
        <x:v>0.4219734207484434</x:v>
      </x:c>
      <x:c r="F76" s="18" t="n">
        <x:f>'Turkiye'!E56</x:f>
        <x:v>0.10318372849110821</x:v>
      </x:c>
      <x:c r="G76" s="19" t="n">
        <x:f>'Turkiye'!F56</x:f>
        <x:v>1</x:v>
      </x:c>
      <x:c r="H76" s="22" t="n">
        <x:f>'Turkiye'!G56</x:f>
        <x:v>4.440892098500626e-16</x:v>
      </x:c>
      <x:c r="I76" s="3"/>
      <x:c r="J76" s="3"/>
    </x:row>
    <x:row r="77" ht="24" customHeight="1">
      <x:c r="A77" s="3"/>
      <x:c r="B77" s="12" t="str">
        <x:v>Türkiye</x:v>
      </x:c>
      <x:c r="C77" s="12" t="str">
        <x:v>tev1:0.8b</x:v>
      </x:c>
      <x:c r="D77" s="18" t="n">
        <x:f>'Turkiye'!C57</x:f>
        <x:v>1.5970840012993563</x:v>
      </x:c>
      <x:c r="E77" s="18" t="n">
        <x:f>'Turkiye'!D57</x:f>
        <x:v>0.6986414741351405</x:v>
      </x:c>
      <x:c r="F77" s="18" t="n">
        <x:f>'Turkiye'!E57</x:f>
        <x:v>0.14847141535774266</x:v>
      </x:c>
      <x:c r="G77" s="19" t="n">
        <x:f>'Turkiye'!F57</x:f>
        <x:v>1</x:v>
      </x:c>
      <x:c r="H77" s="22" t="n">
        <x:f>'Turkiye'!G57</x:f>
        <x:v>4.440892098500626e-16</x:v>
      </x:c>
      <x:c r="I77" s="3"/>
      <x:c r="J77" s="3"/>
    </x:row>
    <x:row r="78" ht="24" customHeight="1">
      <x:c r="A78" s="3"/>
      <x:c r="B78" s="12" t="str">
        <x:v>Türkiye</x:v>
      </x:c>
      <x:c r="C78" s="12" t="str">
        <x:v>tev1:4b</x:v>
      </x:c>
      <x:c r="D78" s="18" t="n">
        <x:f>'Turkiye'!C58</x:f>
        <x:v>1.0292623564712848</x:v>
      </x:c>
      <x:c r="E78" s="18" t="n">
        <x:f>'Turkiye'!D58</x:f>
        <x:v>0.46696022129351156</x:v>
      </x:c>
      <x:c r="F78" s="19" t="n">
        <x:f>'Turkiye'!E58</x:f>
        <x:v>0.08933575718533342</x:v>
      </x:c>
      <x:c r="G78" s="19" t="n">
        <x:f>'Turkiye'!F58</x:f>
        <x:v>1</x:v>
      </x:c>
      <x:c r="H78" s="22" t="n">
        <x:f>'Turkiye'!G58</x:f>
        <x:v>5.551115123125783e-16</x:v>
      </x:c>
      <x:c r="I78" s="3"/>
      <x:c r="J78" s="3"/>
    </x:row>
    <x:row r="79" ht="24" customHeight="1">
      <x:c r="A79" s="3"/>
      <x:c r="B79" s="12" t="str">
        <x:v>Türkiye</x:v>
      </x:c>
      <x:c r="C79" s="12" t="str">
        <x:v>typesafe/jev-1.13</x:v>
      </x:c>
      <x:c r="D79" s="18" t="n">
        <x:f>'Turkiye'!C59</x:f>
        <x:v>2.391091743520766</x:v>
      </x:c>
      <x:c r="E79" s="19" t="n">
        <x:f>'Turkiye'!D59</x:f>
        <x:v>0.36920664646404394</x:v>
      </x:c>
      <x:c r="F79" s="18" t="n">
        <x:f>'Turkiye'!E59</x:f>
        <x:v>0.11837000484059311</x:v>
      </x:c>
      <x:c r="G79" s="19" t="n">
        <x:f>'Turkiye'!F59</x:f>
        <x:v>1</x:v>
      </x:c>
      <x:c r="H79" s="22" t="n">
        <x:f>'Turkiye'!G59</x:f>
        <x:v>0.010000000000000009</x:v>
      </x:c>
      <x:c r="I79" s="3"/>
      <x:c r="J79" s="3"/>
    </x:row>
    <x:row r="80" ht="24" customHeight="1">
      <x:c r="A80" s="3"/>
      <x:c r="B80" s="26" t="str">
        <x:v>Indonesian</x:v>
      </x:c>
      <x:c r="C80" s="26" t="str">
        <x:v>nimble:9b</x:v>
      </x:c>
      <x:c r="D80" s="29" t="n">
        <x:f>'Indonesian'!C56</x:f>
        <x:v>0.7410191531631566</x:v>
      </x:c>
      <x:c r="E80" s="29" t="n">
        <x:f>'Indonesian'!D56</x:f>
        <x:v>0.379273352247172</x:v>
      </x:c>
      <x:c r="F80" s="29" t="n">
        <x:f>'Indonesian'!E56</x:f>
        <x:v>0.0919652922324913</x:v>
      </x:c>
      <x:c r="G80" s="30" t="n">
        <x:f>'Indonesian'!F56</x:f>
        <x:v>1</x:v>
      </x:c>
      <x:c r="H80" s="31" t="n">
        <x:f>'Indonesian'!G56</x:f>
        <x:v>5.551115123125784e-16</x:v>
      </x:c>
      <x:c r="I80" s="3"/>
      <x:c r="J80" s="3"/>
    </x:row>
    <x:row r="81" ht="24" customHeight="1">
      <x:c r="A81" s="3"/>
      <x:c r="B81" s="12" t="str">
        <x:v>Indonesian</x:v>
      </x:c>
      <x:c r="C81" s="12" t="str">
        <x:v>tev1:0.8b</x:v>
      </x:c>
      <x:c r="D81" s="18" t="n">
        <x:f>'Indonesian'!C57</x:f>
        <x:v>1.081502729398362</x:v>
      </x:c>
      <x:c r="E81" s="18" t="n">
        <x:f>'Indonesian'!D57</x:f>
        <x:v>0.5363820669006808</x:v>
      </x:c>
      <x:c r="F81" s="18" t="n">
        <x:f>'Indonesian'!E57</x:f>
        <x:v>0.1007677450720603</x:v>
      </x:c>
      <x:c r="G81" s="19" t="n">
        <x:f>'Indonesian'!F57</x:f>
        <x:v>1</x:v>
      </x:c>
      <x:c r="H81" s="22" t="n">
        <x:f>'Indonesian'!G57</x:f>
        <x:v>4.440892098500626e-16</x:v>
      </x:c>
      <x:c r="I81" s="3"/>
      <x:c r="J81" s="3"/>
    </x:row>
    <x:row r="82" ht="24" customHeight="1">
      <x:c r="A82" s="3"/>
      <x:c r="B82" s="12" t="str">
        <x:v>Indonesian</x:v>
      </x:c>
      <x:c r="C82" s="12" t="str">
        <x:v>tev1:4b</x:v>
      </x:c>
      <x:c r="D82" s="19" t="n">
        <x:f>'Indonesian'!C58</x:f>
        <x:v>0.7038217094989112</x:v>
      </x:c>
      <x:c r="E82" s="18" t="n">
        <x:f>'Indonesian'!D58</x:f>
        <x:v>0.3662788747870136</x:v>
      </x:c>
      <x:c r="F82" s="19" t="n">
        <x:f>'Indonesian'!E58</x:f>
        <x:v>0.024643722369057</x:v>
      </x:c>
      <x:c r="G82" s="19" t="n">
        <x:f>'Indonesian'!F58</x:f>
        <x:v>1</x:v>
      </x:c>
      <x:c r="H82" s="22" t="n">
        <x:f>'Indonesian'!G58</x:f>
        <x:v>4.440892098500626e-16</x:v>
      </x:c>
      <x:c r="I82" s="3"/>
      <x:c r="J82" s="3"/>
    </x:row>
    <x:row r="83" ht="24" customHeight="1">
      <x:c r="A83" s="3"/>
      <x:c r="B83" s="14" t="str">
        <x:v>Indonesian</x:v>
      </x:c>
      <x:c r="C83" s="14" t="str">
        <x:v>typesafe/jev-1.13</x:v>
      </x:c>
      <x:c r="D83" s="20" t="n">
        <x:f>'Indonesian'!C59</x:f>
        <x:v>1.348328070852659</x:v>
      </x:c>
      <x:c r="E83" s="21" t="n">
        <x:f>'Indonesian'!D59</x:f>
        <x:v>0.328234378087141</x:v>
      </x:c>
      <x:c r="F83" s="20" t="n">
        <x:f>'Indonesian'!E59</x:f>
        <x:v>0.0871788289435348</x:v>
      </x:c>
      <x:c r="G83" s="21" t="n">
        <x:f>'Indonesian'!F59</x:f>
        <x:v>1</x:v>
      </x:c>
      <x:c r="H83" s="23" t="n">
        <x:f>'Indonesian'!G59</x:f>
        <x:v>0.01</x:v>
      </x:c>
      <x:c r="I83" s="3"/>
      <x:c r="J83" s="3"/>
    </x:row>
    <x:row r="84" ht="24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</x:row>
    <x:row r="85" ht="24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</x:row>
    <x:row r="86" ht="29" customHeight="1">
      <x:c r="A86" s="3"/>
      <x:c r="B86" s="4" t="str">
        <x:v>TABLE 7.</x:v>
      </x:c>
      <x:c r="C86" s="5" t="str">
        <x:v>Sentiment latency (ms).</x:v>
      </x:c>
      <x:c r="D86" s="5"/>
      <x:c r="E86" s="5"/>
      <x:c r="F86" s="5"/>
      <x:c r="G86" s="3"/>
      <x:c r="H86" s="3"/>
      <x:c r="I86" s="3"/>
      <x:c r="J86" s="3"/>
    </x:row>
    <x:row r="87" ht="21" customHeight="1">
      <x:c r="A87" s="3"/>
      <x:c r="B87" s="6" t="str">
        <x:v>Türkiye: sentiment_tr, n = 12,760; Indonesian: sentiment, n = 12,760</x:v>
      </x:c>
      <x:c r="C87" s="6"/>
      <x:c r="D87" s="6"/>
      <x:c r="E87" s="6"/>
      <x:c r="F87" s="6"/>
      <x:c r="G87" s="3"/>
      <x:c r="H87" s="3"/>
      <x:c r="I87" s="3"/>
      <x:c r="J87" s="3"/>
    </x:row>
    <x:row r="88" ht="9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</x:row>
    <x:row r="89" ht="42" customHeight="1">
      <x:c r="A89" s="3"/>
      <x:c r="B89" s="11" t="str">
        <x:v>Country</x:v>
      </x:c>
      <x:c r="C89" s="11" t="str">
        <x:v>Model</x:v>
      </x:c>
      <x:c r="D89" s="10" t="str">
        <x:v>Mean (ms)</x:v>
      </x:c>
      <x:c r="E89" s="10" t="str">
        <x:v>P50 (ms)</x:v>
      </x:c>
      <x:c r="F89" s="10" t="str">
        <x:v>P95 (ms)</x:v>
      </x:c>
      <x:c r="G89" s="3"/>
      <x:c r="H89" s="3"/>
      <x:c r="I89" s="3"/>
      <x:c r="J89" s="3"/>
    </x:row>
    <x:row r="90" ht="24" customHeight="1">
      <x:c r="A90" s="3"/>
      <x:c r="B90" s="12" t="str">
        <x:v>Türkiye</x:v>
      </x:c>
      <x:c r="C90" s="12" t="str">
        <x:v>nimble:9b</x:v>
      </x:c>
      <x:c r="D90" s="18" t="n">
        <x:f>'Turkiye'!C66</x:f>
        <x:v>714.0460503134797</x:v>
      </x:c>
      <x:c r="E90" s="18" t="n">
        <x:f>'Turkiye'!D66</x:f>
        <x:v>690.2565</x:v>
      </x:c>
      <x:c r="F90" s="18" t="n">
        <x:f>'Turkiye'!E66</x:f>
        <x:v>772.8776999999999</x:v>
      </x:c>
      <x:c r="G90" s="3"/>
      <x:c r="H90" s="3"/>
      <x:c r="I90" s="3"/>
      <x:c r="J90" s="3"/>
    </x:row>
    <x:row r="91" ht="24" customHeight="1">
      <x:c r="A91" s="3"/>
      <x:c r="B91" s="12" t="str">
        <x:v>Türkiye</x:v>
      </x:c>
      <x:c r="C91" s="12" t="str">
        <x:v>tev1:0.8b</x:v>
      </x:c>
      <x:c r="D91" s="18" t="n">
        <x:f>'Turkiye'!C67</x:f>
        <x:v>553.0313459247649</x:v>
      </x:c>
      <x:c r="E91" s="18" t="n">
        <x:f>'Turkiye'!D67</x:f>
        <x:v>540.8005</x:v>
      </x:c>
      <x:c r="F91" s="18" t="n">
        <x:f>'Turkiye'!E67</x:f>
        <x:v>610.9250499999999</x:v>
      </x:c>
      <x:c r="G91" s="3"/>
      <x:c r="H91" s="3"/>
      <x:c r="I91" s="3"/>
      <x:c r="J91" s="3"/>
    </x:row>
    <x:row r="92" ht="24" customHeight="1">
      <x:c r="A92" s="3"/>
      <x:c r="B92" s="12" t="str">
        <x:v>Türkiye</x:v>
      </x:c>
      <x:c r="C92" s="12" t="str">
        <x:v>tev1:4b</x:v>
      </x:c>
      <x:c r="D92" s="18" t="n">
        <x:f>'Turkiye'!C68</x:f>
        <x:v>765.7739284482758</x:v>
      </x:c>
      <x:c r="E92" s="18" t="n">
        <x:f>'Turkiye'!D68</x:f>
        <x:v>771.3335</x:v>
      </x:c>
      <x:c r="F92" s="18" t="n">
        <x:f>'Turkiye'!E68</x:f>
        <x:v>861.1093999999999</x:v>
      </x:c>
      <x:c r="G92" s="3"/>
      <x:c r="H92" s="3"/>
      <x:c r="I92" s="3"/>
      <x:c r="J92" s="3"/>
    </x:row>
    <x:row r="93" ht="24" customHeight="1">
      <x:c r="A93" s="3"/>
      <x:c r="B93" s="12" t="str">
        <x:v>Türkiye</x:v>
      </x:c>
      <x:c r="C93" s="12" t="str">
        <x:v>typesafe/jev-1.13</x:v>
      </x:c>
      <x:c r="D93" s="19" t="n">
        <x:f>'Turkiye'!C69</x:f>
        <x:v>289.2779961598746</x:v>
      </x:c>
      <x:c r="E93" s="19" t="n">
        <x:f>'Turkiye'!D69</x:f>
        <x:v>277.155</x:v>
      </x:c>
      <x:c r="F93" s="19" t="n">
        <x:f>'Turkiye'!E69</x:f>
        <x:v>372.76619999999997</x:v>
      </x:c>
      <x:c r="G93" s="3"/>
      <x:c r="H93" s="3"/>
      <x:c r="I93" s="3"/>
      <x:c r="J93" s="3"/>
    </x:row>
    <x:row r="94" ht="24" customHeight="1">
      <x:c r="A94" s="3"/>
      <x:c r="B94" s="26" t="str">
        <x:v>Indonesian</x:v>
      </x:c>
      <x:c r="C94" s="26" t="str">
        <x:v>nimble:9b</x:v>
      </x:c>
      <x:c r="D94" s="29" t="n">
        <x:f>'Indonesian'!C66</x:f>
        <x:v>960.338751567398</x:v>
      </x:c>
      <x:c r="E94" s="29" t="n">
        <x:f>'Indonesian'!D66</x:f>
        <x:v>1030.395</x:v>
      </x:c>
      <x:c r="F94" s="29" t="n">
        <x:f>'Indonesian'!E66</x:f>
        <x:v>1089.15415</x:v>
      </x:c>
      <x:c r="G94" s="3"/>
      <x:c r="H94" s="3"/>
      <x:c r="I94" s="3"/>
      <x:c r="J94" s="3"/>
    </x:row>
    <x:row r="95" ht="24" customHeight="1">
      <x:c r="A95" s="3"/>
      <x:c r="B95" s="12" t="str">
        <x:v>Indonesian</x:v>
      </x:c>
      <x:c r="C95" s="12" t="str">
        <x:v>tev1:0.8b</x:v>
      </x:c>
      <x:c r="D95" s="18" t="n">
        <x:f>'Indonesian'!C67</x:f>
        <x:v>811.8424963166143</x:v>
      </x:c>
      <x:c r="E95" s="18" t="n">
        <x:f>'Indonesian'!D67</x:f>
        <x:v>775.0685</x:v>
      </x:c>
      <x:c r="F95" s="18" t="n">
        <x:f>'Indonesian'!E67</x:f>
        <x:v>1036.2134</x:v>
      </x:c>
      <x:c r="G95" s="3"/>
      <x:c r="H95" s="3"/>
      <x:c r="I95" s="3"/>
      <x:c r="J95" s="3"/>
    </x:row>
    <x:row r="96" ht="24" customHeight="1">
      <x:c r="A96" s="3"/>
      <x:c r="B96" s="12" t="str">
        <x:v>Indonesian</x:v>
      </x:c>
      <x:c r="C96" s="12" t="str">
        <x:v>tev1:4b</x:v>
      </x:c>
      <x:c r="D96" s="18" t="n">
        <x:f>'Indonesian'!C68</x:f>
        <x:v>914.9546428683386</x:v>
      </x:c>
      <x:c r="E96" s="18" t="n">
        <x:f>'Indonesian'!D68</x:f>
        <x:v>824.1575</x:v>
      </x:c>
      <x:c r="F96" s="18" t="n">
        <x:f>'Indonesian'!E68</x:f>
        <x:v>1090.98415</x:v>
      </x:c>
      <x:c r="G96" s="3"/>
      <x:c r="H96" s="3"/>
      <x:c r="I96" s="3"/>
      <x:c r="J96" s="3"/>
    </x:row>
    <x:row r="97" ht="24" customHeight="1">
      <x:c r="A97" s="3"/>
      <x:c r="B97" s="14" t="str">
        <x:v>Indonesian</x:v>
      </x:c>
      <x:c r="C97" s="14" t="str">
        <x:v>typesafe/jev-1.13</x:v>
      </x:c>
      <x:c r="D97" s="21" t="n">
        <x:f>'Indonesian'!C69</x:f>
        <x:v>303.2676910658307</x:v>
      </x:c>
      <x:c r="E97" s="21" t="n">
        <x:f>'Indonesian'!D69</x:f>
        <x:v>293.2345</x:v>
      </x:c>
      <x:c r="F97" s="21" t="n">
        <x:f>'Indonesian'!E69</x:f>
        <x:v>379.4425499999999</x:v>
      </x:c>
      <x:c r="G97" s="3"/>
      <x:c r="H97" s="3"/>
      <x:c r="I97" s="3"/>
      <x:c r="J97" s="3"/>
    </x:row>
    <x:row r="98" ht="24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</x:row>
    <x:row r="99" ht="24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</x:row>
    <x:row r="100" ht="29" customHeight="1">
      <x:c r="A100" s="3"/>
      <x:c r="B100" s="4" t="str">
        <x:v>TABLE 8.</x:v>
      </x:c>
      <x:c r="C100" s="5" t="str">
        <x:v>Emotion latency (ms).</x:v>
      </x:c>
      <x:c r="D100" s="5"/>
      <x:c r="E100" s="5"/>
      <x:c r="F100" s="5"/>
      <x:c r="G100" s="3"/>
      <x:c r="H100" s="3"/>
      <x:c r="I100" s="3"/>
      <x:c r="J100" s="3"/>
    </x:row>
    <x:row r="101" ht="21" customHeight="1">
      <x:c r="A101" s="3"/>
      <x:c r="B101" s="6" t="str">
        <x:v>Türkiye: emotion_tr, n = 4,403; Indonesian: emotion, n = 4,403</x:v>
      </x:c>
      <x:c r="C101" s="6"/>
      <x:c r="D101" s="6"/>
      <x:c r="E101" s="6"/>
      <x:c r="F101" s="6"/>
      <x:c r="G101" s="3"/>
      <x:c r="H101" s="3"/>
      <x:c r="I101" s="3"/>
      <x:c r="J101" s="3"/>
    </x:row>
    <x:row r="102" ht="9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</x:row>
    <x:row r="103" ht="42" customHeight="1">
      <x:c r="A103" s="3"/>
      <x:c r="B103" s="11" t="str">
        <x:v>Country</x:v>
      </x:c>
      <x:c r="C103" s="11" t="str">
        <x:v>Model</x:v>
      </x:c>
      <x:c r="D103" s="10" t="str">
        <x:v>Mean (ms)</x:v>
      </x:c>
      <x:c r="E103" s="10" t="str">
        <x:v>P50 (ms)</x:v>
      </x:c>
      <x:c r="F103" s="10" t="str">
        <x:v>P95 (ms)</x:v>
      </x:c>
      <x:c r="G103" s="3"/>
      <x:c r="H103" s="3"/>
      <x:c r="I103" s="3"/>
      <x:c r="J103" s="3"/>
    </x:row>
    <x:row r="104" ht="24" customHeight="1">
      <x:c r="A104" s="3"/>
      <x:c r="B104" s="12" t="str">
        <x:v>Türkiye</x:v>
      </x:c>
      <x:c r="C104" s="12" t="str">
        <x:v>nimble:9b</x:v>
      </x:c>
      <x:c r="D104" s="18" t="n">
        <x:f>'Turkiye'!C76</x:f>
        <x:v>760.0553765614353</x:v>
      </x:c>
      <x:c r="E104" s="18" t="n">
        <x:f>'Turkiye'!D76</x:f>
        <x:v>741.531</x:v>
      </x:c>
      <x:c r="F104" s="18" t="n">
        <x:f>'Turkiye'!E76</x:f>
        <x:v>867.1234</x:v>
      </x:c>
      <x:c r="G104" s="3"/>
      <x:c r="H104" s="3"/>
      <x:c r="I104" s="3"/>
      <x:c r="J104" s="3"/>
    </x:row>
    <x:row r="105" ht="24" customHeight="1">
      <x:c r="A105" s="3"/>
      <x:c r="B105" s="12" t="str">
        <x:v>Türkiye</x:v>
      </x:c>
      <x:c r="C105" s="12" t="str">
        <x:v>tev1:0.8b</x:v>
      </x:c>
      <x:c r="D105" s="18" t="n">
        <x:f>'Turkiye'!C77</x:f>
        <x:v>793.3999722916193</x:v>
      </x:c>
      <x:c r="E105" s="18" t="n">
        <x:f>'Turkiye'!D77</x:f>
        <x:v>867.453</x:v>
      </x:c>
      <x:c r="F105" s="18" t="n">
        <x:f>'Turkiye'!E77</x:f>
        <x:v>882.1109</x:v>
      </x:c>
      <x:c r="G105" s="3"/>
      <x:c r="H105" s="3"/>
      <x:c r="I105" s="3"/>
      <x:c r="J105" s="3"/>
    </x:row>
    <x:row r="106" ht="24" customHeight="1">
      <x:c r="A106" s="3"/>
      <x:c r="B106" s="12" t="str">
        <x:v>Türkiye</x:v>
      </x:c>
      <x:c r="C106" s="12" t="str">
        <x:v>tev1:4b</x:v>
      </x:c>
      <x:c r="D106" s="18" t="n">
        <x:f>'Turkiye'!C78</x:f>
        <x:v>765.0517397229162</x:v>
      </x:c>
      <x:c r="E106" s="18" t="n">
        <x:f>'Turkiye'!D78</x:f>
        <x:v>734.884</x:v>
      </x:c>
      <x:c r="F106" s="18" t="n">
        <x:f>'Turkiye'!E78</x:f>
        <x:v>879.7139999999999</x:v>
      </x:c>
      <x:c r="G106" s="3"/>
      <x:c r="H106" s="3"/>
      <x:c r="I106" s="3"/>
      <x:c r="J106" s="3"/>
    </x:row>
    <x:row r="107" ht="24" customHeight="1">
      <x:c r="A107" s="3"/>
      <x:c r="B107" s="12" t="str">
        <x:v>Türkiye</x:v>
      </x:c>
      <x:c r="C107" s="12" t="str">
        <x:v>typesafe/jev-1.13</x:v>
      </x:c>
      <x:c r="D107" s="19" t="n">
        <x:f>'Turkiye'!C79</x:f>
        <x:v>290.742994549171</x:v>
      </x:c>
      <x:c r="E107" s="19" t="n">
        <x:f>'Turkiye'!D79</x:f>
        <x:v>280.399</x:v>
      </x:c>
      <x:c r="F107" s="19" t="n">
        <x:f>'Turkiye'!E79</x:f>
        <x:v>357.44719999999995</x:v>
      </x:c>
      <x:c r="G107" s="3"/>
      <x:c r="H107" s="3"/>
      <x:c r="I107" s="3"/>
      <x:c r="J107" s="3"/>
    </x:row>
    <x:row r="108" ht="24" customHeight="1">
      <x:c r="A108" s="3"/>
      <x:c r="B108" s="26" t="str">
        <x:v>Indonesian</x:v>
      </x:c>
      <x:c r="C108" s="26" t="str">
        <x:v>nimble:9b</x:v>
      </x:c>
      <x:c r="D108" s="29" t="n">
        <x:f>'Indonesian'!C76</x:f>
        <x:v>1025.9692500567792</x:v>
      </x:c>
      <x:c r="E108" s="29" t="n">
        <x:f>'Indonesian'!D76</x:f>
        <x:v>1038.798</x:v>
      </x:c>
      <x:c r="F108" s="29" t="n">
        <x:f>'Indonesian'!E76</x:f>
        <x:v>1203.1157999999998</x:v>
      </x:c>
      <x:c r="G108" s="3"/>
      <x:c r="H108" s="3"/>
      <x:c r="I108" s="3"/>
      <x:c r="J108" s="3"/>
    </x:row>
    <x:row r="109" ht="24" customHeight="1">
      <x:c r="A109" s="3"/>
      <x:c r="B109" s="12" t="str">
        <x:v>Indonesian</x:v>
      </x:c>
      <x:c r="C109" s="12" t="str">
        <x:v>tev1:0.8b</x:v>
      </x:c>
      <x:c r="D109" s="18" t="n">
        <x:f>'Indonesian'!C77</x:f>
        <x:v>818.7358005905064</x:v>
      </x:c>
      <x:c r="E109" s="18" t="n">
        <x:f>'Indonesian'!D77</x:f>
        <x:v>777.531</x:v>
      </x:c>
      <x:c r="F109" s="18" t="n">
        <x:f>'Indonesian'!E77</x:f>
        <x:v>1042.4292999999998</x:v>
      </x:c>
      <x:c r="G109" s="3"/>
      <x:c r="H109" s="3"/>
      <x:c r="I109" s="3"/>
      <x:c r="J109" s="3"/>
    </x:row>
    <x:row r="110" ht="24" customHeight="1">
      <x:c r="A110" s="3"/>
      <x:c r="B110" s="12" t="str">
        <x:v>Indonesian</x:v>
      </x:c>
      <x:c r="C110" s="12" t="str">
        <x:v>tev1:4b</x:v>
      </x:c>
      <x:c r="D110" s="18" t="n">
        <x:f>'Indonesian'!C78</x:f>
        <x:v>931.5117242789008</x:v>
      </x:c>
      <x:c r="E110" s="18" t="n">
        <x:f>'Indonesian'!D78</x:f>
        <x:v>1030.905</x:v>
      </x:c>
      <x:c r="F110" s="18" t="n">
        <x:f>'Indonesian'!E78</x:f>
        <x:v>1091.8321</x:v>
      </x:c>
      <x:c r="G110" s="3"/>
      <x:c r="H110" s="3"/>
      <x:c r="I110" s="3"/>
      <x:c r="J110" s="3"/>
    </x:row>
    <x:row r="111" ht="24" customHeight="1">
      <x:c r="A111" s="3"/>
      <x:c r="B111" s="14" t="str">
        <x:v>Indonesian</x:v>
      </x:c>
      <x:c r="C111" s="14" t="str">
        <x:v>typesafe/jev-1.13</x:v>
      </x:c>
      <x:c r="D111" s="21" t="n">
        <x:f>'Indonesian'!C79</x:f>
        <x:v>305.12491165114693</x:v>
      </x:c>
      <x:c r="E111" s="21" t="n">
        <x:f>'Indonesian'!D79</x:f>
        <x:v>291.327</x:v>
      </x:c>
      <x:c r="F111" s="21" t="n">
        <x:f>'Indonesian'!E79</x:f>
        <x:v>397.1694999999999</x:v>
      </x:c>
      <x:c r="G111" s="3"/>
      <x:c r="H111" s="3"/>
      <x:c r="I111" s="3"/>
      <x:c r="J111" s="3"/>
    </x:row>
    <x:row r="112" ht="24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</x:row>
    <x:row r="113" ht="24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</x:row>
    <x:row r="114" ht="29" customHeight="1">
      <x:c r="A114" s="3"/>
      <x:c r="B114" s="4" t="str">
        <x:v>TABLE 9.</x:v>
      </x:c>
      <x:c r="C114" s="5" t="str">
        <x:v>Sentiment evaluation coverage.</x:v>
      </x:c>
      <x:c r="D114" s="5"/>
      <x:c r="E114" s="5"/>
      <x:c r="F114" s="5"/>
      <x:c r="G114" s="5"/>
      <x:c r="H114" s="5"/>
      <x:c r="I114" s="5"/>
      <x:c r="J114" s="3"/>
    </x:row>
    <x:row r="115" ht="21" customHeight="1">
      <x:c r="A115" s="3"/>
      <x:c r="B115" s="6" t="str">
        <x:v>Türkiye: sentiment_tr, n = 12,760; Indonesian: sentiment, n = 12,760</x:v>
      </x:c>
      <x:c r="C115" s="6"/>
      <x:c r="D115" s="6"/>
      <x:c r="E115" s="6"/>
      <x:c r="F115" s="6"/>
      <x:c r="G115" s="6"/>
      <x:c r="H115" s="6"/>
      <x:c r="I115" s="6"/>
      <x:c r="J115" s="3"/>
    </x:row>
    <x:row r="116" ht="9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</x:row>
    <x:row r="117" ht="42" customHeight="1">
      <x:c r="A117" s="3"/>
      <x:c r="B117" s="11" t="str">
        <x:v>Country</x:v>
      </x:c>
      <x:c r="C117" s="11" t="str">
        <x:v>Model</x:v>
      </x:c>
      <x:c r="D117" s="10" t="str">
        <x:v>Total</x:v>
      </x:c>
      <x:c r="E117" s="10" t="str">
        <x:v>Successful</x:v>
      </x:c>
      <x:c r="F117" s="10" t="str">
        <x:v>Errors</x:v>
      </x:c>
      <x:c r="G117" s="10" t="str">
        <x:v>Error Rate</x:v>
      </x:c>
      <x:c r="H117" s="10" t="str">
        <x:v>Probability
Records</x:v>
      </x:c>
      <x:c r="I117" s="10" t="str">
        <x:v>Choice
Mismatches</x:v>
      </x:c>
      <x:c r="J117" s="3"/>
    </x:row>
    <x:row r="118" ht="24" customHeight="1">
      <x:c r="A118" s="3"/>
      <x:c r="B118" s="12" t="str">
        <x:v>Türkiye</x:v>
      </x:c>
      <x:c r="C118" s="12" t="str">
        <x:v>nimble:9b</x:v>
      </x:c>
      <x:c r="D118" s="24" t="n">
        <x:f>'Turkiye'!C86</x:f>
        <x:v>12760</x:v>
      </x:c>
      <x:c r="E118" s="24" t="n">
        <x:f>'Turkiye'!D86</x:f>
        <x:v>12760</x:v>
      </x:c>
      <x:c r="F118" s="24" t="n">
        <x:f>'Turkiye'!E86</x:f>
        <x:v>0</x:v>
      </x:c>
      <x:c r="G118" s="16" t="n">
        <x:f>'Turkiye'!F86</x:f>
        <x:v>0</x:v>
      </x:c>
      <x:c r="H118" s="24" t="n">
        <x:f>'Turkiye'!G86</x:f>
        <x:v>12760</x:v>
      </x:c>
      <x:c r="I118" s="24" t="n">
        <x:f>'Turkiye'!H86</x:f>
        <x:v>0</x:v>
      </x:c>
      <x:c r="J118" s="3"/>
    </x:row>
    <x:row r="119" ht="24" customHeight="1">
      <x:c r="A119" s="3"/>
      <x:c r="B119" s="12" t="str">
        <x:v>Türkiye</x:v>
      </x:c>
      <x:c r="C119" s="12" t="str">
        <x:v>tev1:0.8b</x:v>
      </x:c>
      <x:c r="D119" s="24" t="n">
        <x:f>'Turkiye'!C87</x:f>
        <x:v>12760</x:v>
      </x:c>
      <x:c r="E119" s="24" t="n">
        <x:f>'Turkiye'!D87</x:f>
        <x:v>12760</x:v>
      </x:c>
      <x:c r="F119" s="24" t="n">
        <x:f>'Turkiye'!E87</x:f>
        <x:v>0</x:v>
      </x:c>
      <x:c r="G119" s="16" t="n">
        <x:f>'Turkiye'!F87</x:f>
        <x:v>0</x:v>
      </x:c>
      <x:c r="H119" s="24" t="n">
        <x:f>'Turkiye'!G87</x:f>
        <x:v>12760</x:v>
      </x:c>
      <x:c r="I119" s="24" t="n">
        <x:f>'Turkiye'!H87</x:f>
        <x:v>0</x:v>
      </x:c>
      <x:c r="J119" s="3"/>
    </x:row>
    <x:row r="120" ht="24" customHeight="1">
      <x:c r="A120" s="3"/>
      <x:c r="B120" s="12" t="str">
        <x:v>Türkiye</x:v>
      </x:c>
      <x:c r="C120" s="12" t="str">
        <x:v>tev1:4b</x:v>
      </x:c>
      <x:c r="D120" s="24" t="n">
        <x:f>'Turkiye'!C88</x:f>
        <x:v>12760</x:v>
      </x:c>
      <x:c r="E120" s="24" t="n">
        <x:f>'Turkiye'!D88</x:f>
        <x:v>12760</x:v>
      </x:c>
      <x:c r="F120" s="24" t="n">
        <x:f>'Turkiye'!E88</x:f>
        <x:v>0</x:v>
      </x:c>
      <x:c r="G120" s="16" t="n">
        <x:f>'Turkiye'!F88</x:f>
        <x:v>0</x:v>
      </x:c>
      <x:c r="H120" s="24" t="n">
        <x:f>'Turkiye'!G88</x:f>
        <x:v>12760</x:v>
      </x:c>
      <x:c r="I120" s="24" t="n">
        <x:f>'Turkiye'!H88</x:f>
        <x:v>0</x:v>
      </x:c>
      <x:c r="J120" s="3"/>
    </x:row>
    <x:row r="121" ht="24" customHeight="1">
      <x:c r="A121" s="3"/>
      <x:c r="B121" s="12" t="str">
        <x:v>Türkiye</x:v>
      </x:c>
      <x:c r="C121" s="12" t="str">
        <x:v>typesafe/jev-1.13</x:v>
      </x:c>
      <x:c r="D121" s="24" t="n">
        <x:f>'Turkiye'!C89</x:f>
        <x:v>12760</x:v>
      </x:c>
      <x:c r="E121" s="24" t="n">
        <x:f>'Turkiye'!D89</x:f>
        <x:v>12760</x:v>
      </x:c>
      <x:c r="F121" s="24" t="n">
        <x:f>'Turkiye'!E89</x:f>
        <x:v>0</x:v>
      </x:c>
      <x:c r="G121" s="16" t="n">
        <x:f>'Turkiye'!F89</x:f>
        <x:v>0</x:v>
      </x:c>
      <x:c r="H121" s="24" t="n">
        <x:f>'Turkiye'!G89</x:f>
        <x:v>12760</x:v>
      </x:c>
      <x:c r="I121" s="24" t="n">
        <x:f>'Turkiye'!H89</x:f>
        <x:v>7</x:v>
      </x:c>
      <x:c r="J121" s="3"/>
    </x:row>
    <x:row r="122" ht="24" customHeight="1">
      <x:c r="A122" s="3"/>
      <x:c r="B122" s="26" t="str">
        <x:v>Indonesian</x:v>
      </x:c>
      <x:c r="C122" s="26" t="str">
        <x:v>nimble:9b</x:v>
      </x:c>
      <x:c r="D122" s="32" t="n">
        <x:f>'Indonesian'!C86</x:f>
        <x:v>12760</x:v>
      </x:c>
      <x:c r="E122" s="32" t="n">
        <x:f>'Indonesian'!D86</x:f>
        <x:v>12760</x:v>
      </x:c>
      <x:c r="F122" s="32" t="n">
        <x:f>'Indonesian'!E86</x:f>
        <x:v>0</x:v>
      </x:c>
      <x:c r="G122" s="28" t="n">
        <x:f>'Indonesian'!F86</x:f>
        <x:v>0</x:v>
      </x:c>
      <x:c r="H122" s="32" t="n">
        <x:f>'Indonesian'!G86</x:f>
        <x:v>12760</x:v>
      </x:c>
      <x:c r="I122" s="32" t="n">
        <x:f>'Indonesian'!H86</x:f>
        <x:v>0</x:v>
      </x:c>
      <x:c r="J122" s="3"/>
    </x:row>
    <x:row r="123" ht="24" customHeight="1">
      <x:c r="A123" s="3"/>
      <x:c r="B123" s="12" t="str">
        <x:v>Indonesian</x:v>
      </x:c>
      <x:c r="C123" s="12" t="str">
        <x:v>tev1:0.8b</x:v>
      </x:c>
      <x:c r="D123" s="24" t="n">
        <x:f>'Indonesian'!C87</x:f>
        <x:v>12760</x:v>
      </x:c>
      <x:c r="E123" s="24" t="n">
        <x:f>'Indonesian'!D87</x:f>
        <x:v>12760</x:v>
      </x:c>
      <x:c r="F123" s="24" t="n">
        <x:f>'Indonesian'!E87</x:f>
        <x:v>0</x:v>
      </x:c>
      <x:c r="G123" s="16" t="n">
        <x:f>'Indonesian'!F87</x:f>
        <x:v>0</x:v>
      </x:c>
      <x:c r="H123" s="24" t="n">
        <x:f>'Indonesian'!G87</x:f>
        <x:v>12760</x:v>
      </x:c>
      <x:c r="I123" s="24" t="n">
        <x:f>'Indonesian'!H87</x:f>
        <x:v>0</x:v>
      </x:c>
      <x:c r="J123" s="3"/>
    </x:row>
    <x:row r="124" ht="24" customHeight="1">
      <x:c r="A124" s="3"/>
      <x:c r="B124" s="12" t="str">
        <x:v>Indonesian</x:v>
      </x:c>
      <x:c r="C124" s="12" t="str">
        <x:v>tev1:4b</x:v>
      </x:c>
      <x:c r="D124" s="24" t="n">
        <x:f>'Indonesian'!C88</x:f>
        <x:v>12760</x:v>
      </x:c>
      <x:c r="E124" s="24" t="n">
        <x:f>'Indonesian'!D88</x:f>
        <x:v>12760</x:v>
      </x:c>
      <x:c r="F124" s="24" t="n">
        <x:f>'Indonesian'!E88</x:f>
        <x:v>0</x:v>
      </x:c>
      <x:c r="G124" s="16" t="n">
        <x:f>'Indonesian'!F88</x:f>
        <x:v>0</x:v>
      </x:c>
      <x:c r="H124" s="24" t="n">
        <x:f>'Indonesian'!G88</x:f>
        <x:v>12760</x:v>
      </x:c>
      <x:c r="I124" s="24" t="n">
        <x:f>'Indonesian'!H88</x:f>
        <x:v>0</x:v>
      </x:c>
      <x:c r="J124" s="3"/>
    </x:row>
    <x:row r="125" ht="24" customHeight="1">
      <x:c r="A125" s="3"/>
      <x:c r="B125" s="14" t="str">
        <x:v>Indonesian</x:v>
      </x:c>
      <x:c r="C125" s="14" t="str">
        <x:v>typesafe/jev-1.13</x:v>
      </x:c>
      <x:c r="D125" s="25" t="n">
        <x:f>'Indonesian'!C89</x:f>
        <x:v>12760</x:v>
      </x:c>
      <x:c r="E125" s="25" t="n">
        <x:f>'Indonesian'!D89</x:f>
        <x:v>12760</x:v>
      </x:c>
      <x:c r="F125" s="25" t="n">
        <x:f>'Indonesian'!E89</x:f>
        <x:v>0</x:v>
      </x:c>
      <x:c r="G125" s="17" t="n">
        <x:f>'Indonesian'!F89</x:f>
        <x:v>0</x:v>
      </x:c>
      <x:c r="H125" s="25" t="n">
        <x:f>'Indonesian'!G89</x:f>
        <x:v>12760</x:v>
      </x:c>
      <x:c r="I125" s="25" t="n">
        <x:f>'Indonesian'!H89</x:f>
        <x:v>12</x:v>
      </x:c>
      <x:c r="J125" s="3"/>
    </x:row>
    <x:row r="126" ht="24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</x:row>
    <x:row r="127" ht="24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</x:row>
    <x:row r="128" ht="29" customHeight="1">
      <x:c r="A128" s="3"/>
      <x:c r="B128" s="4" t="str">
        <x:v>TABLE 10.</x:v>
      </x:c>
      <x:c r="C128" s="5" t="str">
        <x:v>Emotion evaluation coverage.</x:v>
      </x:c>
      <x:c r="D128" s="5"/>
      <x:c r="E128" s="5"/>
      <x:c r="F128" s="5"/>
      <x:c r="G128" s="5"/>
      <x:c r="H128" s="5"/>
      <x:c r="I128" s="5"/>
      <x:c r="J128" s="3"/>
    </x:row>
    <x:row r="129" ht="21" customHeight="1">
      <x:c r="A129" s="3"/>
      <x:c r="B129" s="6" t="str">
        <x:v>Türkiye: emotion_tr, n = 4,403; Indonesian: emotion, n = 4,403</x:v>
      </x:c>
      <x:c r="C129" s="6"/>
      <x:c r="D129" s="6"/>
      <x:c r="E129" s="6"/>
      <x:c r="F129" s="6"/>
      <x:c r="G129" s="6"/>
      <x:c r="H129" s="6"/>
      <x:c r="I129" s="6"/>
      <x:c r="J129" s="3"/>
    </x:row>
    <x:row r="130" ht="9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</x:row>
    <x:row r="131" ht="42" customHeight="1">
      <x:c r="A131" s="3"/>
      <x:c r="B131" s="11" t="str">
        <x:v>Country</x:v>
      </x:c>
      <x:c r="C131" s="11" t="str">
        <x:v>Model</x:v>
      </x:c>
      <x:c r="D131" s="10" t="str">
        <x:v>Total</x:v>
      </x:c>
      <x:c r="E131" s="10" t="str">
        <x:v>Successful</x:v>
      </x:c>
      <x:c r="F131" s="10" t="str">
        <x:v>Errors</x:v>
      </x:c>
      <x:c r="G131" s="10" t="str">
        <x:v>Error Rate</x:v>
      </x:c>
      <x:c r="H131" s="10" t="str">
        <x:v>Probability
Records</x:v>
      </x:c>
      <x:c r="I131" s="10" t="str">
        <x:v>Choice
Mismatches</x:v>
      </x:c>
      <x:c r="J131" s="3"/>
    </x:row>
    <x:row r="132" ht="24" customHeight="1">
      <x:c r="A132" s="3"/>
      <x:c r="B132" s="12" t="str">
        <x:v>Türkiye</x:v>
      </x:c>
      <x:c r="C132" s="12" t="str">
        <x:v>nimble:9b</x:v>
      </x:c>
      <x:c r="D132" s="24" t="n">
        <x:f>'Turkiye'!C96</x:f>
        <x:v>4403</x:v>
      </x:c>
      <x:c r="E132" s="24" t="n">
        <x:f>'Turkiye'!D96</x:f>
        <x:v>4403</x:v>
      </x:c>
      <x:c r="F132" s="24" t="n">
        <x:f>'Turkiye'!E96</x:f>
        <x:v>0</x:v>
      </x:c>
      <x:c r="G132" s="16" t="n">
        <x:f>'Turkiye'!F96</x:f>
        <x:v>0</x:v>
      </x:c>
      <x:c r="H132" s="24" t="n">
        <x:f>'Turkiye'!G96</x:f>
        <x:v>4403</x:v>
      </x:c>
      <x:c r="I132" s="24" t="n">
        <x:f>'Turkiye'!H96</x:f>
        <x:v>0</x:v>
      </x:c>
      <x:c r="J132" s="3"/>
    </x:row>
    <x:row r="133" ht="24" customHeight="1">
      <x:c r="A133" s="3"/>
      <x:c r="B133" s="12" t="str">
        <x:v>Türkiye</x:v>
      </x:c>
      <x:c r="C133" s="12" t="str">
        <x:v>tev1:0.8b</x:v>
      </x:c>
      <x:c r="D133" s="24" t="n">
        <x:f>'Turkiye'!C97</x:f>
        <x:v>4403</x:v>
      </x:c>
      <x:c r="E133" s="24" t="n">
        <x:f>'Turkiye'!D97</x:f>
        <x:v>4403</x:v>
      </x:c>
      <x:c r="F133" s="24" t="n">
        <x:f>'Turkiye'!E97</x:f>
        <x:v>0</x:v>
      </x:c>
      <x:c r="G133" s="16" t="n">
        <x:f>'Turkiye'!F97</x:f>
        <x:v>0</x:v>
      </x:c>
      <x:c r="H133" s="24" t="n">
        <x:f>'Turkiye'!G97</x:f>
        <x:v>4403</x:v>
      </x:c>
      <x:c r="I133" s="24" t="n">
        <x:f>'Turkiye'!H97</x:f>
        <x:v>0</x:v>
      </x:c>
      <x:c r="J133" s="3"/>
    </x:row>
    <x:row r="134" ht="24" customHeight="1">
      <x:c r="A134" s="3"/>
      <x:c r="B134" s="12" t="str">
        <x:v>Türkiye</x:v>
      </x:c>
      <x:c r="C134" s="12" t="str">
        <x:v>tev1:4b</x:v>
      </x:c>
      <x:c r="D134" s="24" t="n">
        <x:f>'Turkiye'!C98</x:f>
        <x:v>4403</x:v>
      </x:c>
      <x:c r="E134" s="24" t="n">
        <x:f>'Turkiye'!D98</x:f>
        <x:v>4403</x:v>
      </x:c>
      <x:c r="F134" s="24" t="n">
        <x:f>'Turkiye'!E98</x:f>
        <x:v>0</x:v>
      </x:c>
      <x:c r="G134" s="16" t="n">
        <x:f>'Turkiye'!F98</x:f>
        <x:v>0</x:v>
      </x:c>
      <x:c r="H134" s="24" t="n">
        <x:f>'Turkiye'!G98</x:f>
        <x:v>4403</x:v>
      </x:c>
      <x:c r="I134" s="24" t="n">
        <x:f>'Turkiye'!H98</x:f>
        <x:v>0</x:v>
      </x:c>
      <x:c r="J134" s="3"/>
    </x:row>
    <x:row r="135" ht="24" customHeight="1">
      <x:c r="A135" s="3"/>
      <x:c r="B135" s="12" t="str">
        <x:v>Türkiye</x:v>
      </x:c>
      <x:c r="C135" s="12" t="str">
        <x:v>typesafe/jev-1.13</x:v>
      </x:c>
      <x:c r="D135" s="24" t="n">
        <x:f>'Turkiye'!C99</x:f>
        <x:v>4403</x:v>
      </x:c>
      <x:c r="E135" s="24" t="n">
        <x:f>'Turkiye'!D99</x:f>
        <x:v>4403</x:v>
      </x:c>
      <x:c r="F135" s="24" t="n">
        <x:f>'Turkiye'!E99</x:f>
        <x:v>0</x:v>
      </x:c>
      <x:c r="G135" s="16" t="n">
        <x:f>'Turkiye'!F99</x:f>
        <x:v>0</x:v>
      </x:c>
      <x:c r="H135" s="24" t="n">
        <x:f>'Turkiye'!G99</x:f>
        <x:v>4403</x:v>
      </x:c>
      <x:c r="I135" s="24" t="n">
        <x:f>'Turkiye'!H99</x:f>
        <x:v>9</x:v>
      </x:c>
      <x:c r="J135" s="3"/>
    </x:row>
    <x:row r="136" ht="24" customHeight="1">
      <x:c r="A136" s="3"/>
      <x:c r="B136" s="26" t="str">
        <x:v>Indonesian</x:v>
      </x:c>
      <x:c r="C136" s="26" t="str">
        <x:v>nimble:9b</x:v>
      </x:c>
      <x:c r="D136" s="32" t="n">
        <x:f>'Indonesian'!C96</x:f>
        <x:v>4403</x:v>
      </x:c>
      <x:c r="E136" s="32" t="n">
        <x:f>'Indonesian'!D96</x:f>
        <x:v>4403</x:v>
      </x:c>
      <x:c r="F136" s="32" t="n">
        <x:f>'Indonesian'!E96</x:f>
        <x:v>0</x:v>
      </x:c>
      <x:c r="G136" s="28" t="n">
        <x:f>'Indonesian'!F96</x:f>
        <x:v>0</x:v>
      </x:c>
      <x:c r="H136" s="32" t="n">
        <x:f>'Indonesian'!G96</x:f>
        <x:v>4403</x:v>
      </x:c>
      <x:c r="I136" s="32" t="n">
        <x:f>'Indonesian'!H96</x:f>
        <x:v>0</x:v>
      </x:c>
      <x:c r="J136" s="3"/>
    </x:row>
    <x:row r="137" ht="24" customHeight="1">
      <x:c r="A137" s="3"/>
      <x:c r="B137" s="12" t="str">
        <x:v>Indonesian</x:v>
      </x:c>
      <x:c r="C137" s="12" t="str">
        <x:v>tev1:0.8b</x:v>
      </x:c>
      <x:c r="D137" s="24" t="n">
        <x:f>'Indonesian'!C97</x:f>
        <x:v>4403</x:v>
      </x:c>
      <x:c r="E137" s="24" t="n">
        <x:f>'Indonesian'!D97</x:f>
        <x:v>4403</x:v>
      </x:c>
      <x:c r="F137" s="24" t="n">
        <x:f>'Indonesian'!E97</x:f>
        <x:v>0</x:v>
      </x:c>
      <x:c r="G137" s="16" t="n">
        <x:f>'Indonesian'!F97</x:f>
        <x:v>0</x:v>
      </x:c>
      <x:c r="H137" s="24" t="n">
        <x:f>'Indonesian'!G97</x:f>
        <x:v>4403</x:v>
      </x:c>
      <x:c r="I137" s="24" t="n">
        <x:f>'Indonesian'!H97</x:f>
        <x:v>0</x:v>
      </x:c>
      <x:c r="J137" s="3"/>
    </x:row>
    <x:row r="138" ht="24" customHeight="1">
      <x:c r="A138" s="3"/>
      <x:c r="B138" s="12" t="str">
        <x:v>Indonesian</x:v>
      </x:c>
      <x:c r="C138" s="12" t="str">
        <x:v>tev1:4b</x:v>
      </x:c>
      <x:c r="D138" s="24" t="n">
        <x:f>'Indonesian'!C98</x:f>
        <x:v>4403</x:v>
      </x:c>
      <x:c r="E138" s="24" t="n">
        <x:f>'Indonesian'!D98</x:f>
        <x:v>4403</x:v>
      </x:c>
      <x:c r="F138" s="24" t="n">
        <x:f>'Indonesian'!E98</x:f>
        <x:v>0</x:v>
      </x:c>
      <x:c r="G138" s="16" t="n">
        <x:f>'Indonesian'!F98</x:f>
        <x:v>0</x:v>
      </x:c>
      <x:c r="H138" s="24" t="n">
        <x:f>'Indonesian'!G98</x:f>
        <x:v>4403</x:v>
      </x:c>
      <x:c r="I138" s="24" t="n">
        <x:f>'Indonesian'!H98</x:f>
        <x:v>0</x:v>
      </x:c>
      <x:c r="J138" s="3"/>
    </x:row>
    <x:row r="139" ht="24" customHeight="1">
      <x:c r="A139" s="3"/>
      <x:c r="B139" s="14" t="str">
        <x:v>Indonesian</x:v>
      </x:c>
      <x:c r="C139" s="14" t="str">
        <x:v>typesafe/jev-1.13</x:v>
      </x:c>
      <x:c r="D139" s="25" t="n">
        <x:f>'Indonesian'!C99</x:f>
        <x:v>4403</x:v>
      </x:c>
      <x:c r="E139" s="25" t="n">
        <x:f>'Indonesian'!D99</x:f>
        <x:v>4403</x:v>
      </x:c>
      <x:c r="F139" s="25" t="n">
        <x:f>'Indonesian'!E99</x:f>
        <x:v>0</x:v>
      </x:c>
      <x:c r="G139" s="17" t="n">
        <x:f>'Indonesian'!F99</x:f>
        <x:v>0</x:v>
      </x:c>
      <x:c r="H139" s="25" t="n">
        <x:f>'Indonesian'!G99</x:f>
        <x:v>4403</x:v>
      </x:c>
      <x:c r="I139" s="25" t="n">
        <x:f>'Indonesian'!H99</x:f>
        <x:v>7</x:v>
      </x:c>
      <x:c r="J139" s="3"/>
    </x:row>
    <x:row r="140" ht="24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</x:row>
    <x:row r="141" ht="24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</x:row>
    <x:row r="142" ht="23" customHeight="1">
      <x:c r="A142" s="3"/>
      <x:c r="B142" s="6" t="str">
        <x:v>Bold marks the best exact value within each country and task; ties are included.</x:v>
      </x:c>
      <x:c r="C142" s="6"/>
      <x:c r="D142" s="6"/>
      <x:c r="E142" s="6"/>
      <x:c r="F142" s="6"/>
      <x:c r="G142" s="6"/>
      <x:c r="H142" s="6"/>
      <x:c r="I142" s="6"/>
      <x:c r="J142" s="3"/>
    </x:row>
    <x:row r="143" ht="23" customHeight="1">
      <x:c r="A143" s="3"/>
      <x:c r="B143" s="6" t="str">
        <x:v>Higher is better for accuracy, F1 and probability coverage. Lower is better for loss, Brier, ECE and latency.</x:v>
      </x:c>
      <x:c r="C143" s="6"/>
      <x:c r="D143" s="6"/>
      <x:c r="E143" s="6"/>
      <x:c r="F143" s="6"/>
      <x:c r="G143" s="6"/>
      <x:c r="H143" s="6"/>
      <x:c r="I143" s="6"/>
      <x:c r="J143" s="3"/>
    </x:row>
    <x:row r="144" ht="23" customHeight="1">
      <x:c r="A144" s="3"/>
      <x:c r="B144" s="6" t="str">
        <x:v>Scores display three decimals; underlying values retain source precision. Confidence interval levels were not specified.</x:v>
      </x:c>
      <x:c r="C144" s="6"/>
      <x:c r="D144" s="6"/>
      <x:c r="E144" s="6"/>
      <x:c r="F144" s="6"/>
      <x:c r="G144" s="6"/>
      <x:c r="H144" s="6"/>
      <x:c r="I144" s="6"/>
      <x:c r="J144" s="3"/>
    </x:row>
    <x:row r="145" ht="23" customHeight="1">
      <x:c r="A145" s="3"/>
      <x:c r="B145" s="6" t="str">
        <x:v>Per-class precision, recall, F1, and support are included in the tables below.</x:v>
      </x:c>
      <x:c r="C145" s="6"/>
      <x:c r="D145" s="6"/>
      <x:c r="E145" s="6"/>
      <x:c r="F145" s="6"/>
      <x:c r="G145" s="6"/>
      <x:c r="H145" s="6"/>
      <x:c r="I145" s="6"/>
      <x:c r="J145" s="3"/>
    </x:row>
    <x:row r="146" ht="23" customHeight="1">
      <x:c r="A146" s="3"/>
      <x:c r="B146" s="6" t="str">
        <x:v>Both countries are shown separately; values link to the Turkiye and Indonesian sheets.</x:v>
      </x:c>
      <x:c r="C146" s="6"/>
      <x:c r="D146" s="6"/>
      <x:c r="E146" s="6"/>
      <x:c r="F146" s="6"/>
      <x:c r="G146" s="6"/>
      <x:c r="H146" s="6"/>
      <x:c r="I146" s="6"/>
      <x:c r="J146" s="3"/>
    </x:row>
    <x:row r="147" ht="23" customHeight="1">
      <x:c r="A147" s="3"/>
      <x:c r="B147" s="6" t="str">
        <x:v>Emotion label sets differ across countries; their per-class tables are shown separately.</x:v>
      </x:c>
      <x:c r="C147" s="6"/>
      <x:c r="D147" s="6"/>
      <x:c r="E147" s="6"/>
      <x:c r="F147" s="6"/>
      <x:c r="G147" s="6"/>
      <x:c r="H147" s="6"/>
      <x:c r="I147" s="6"/>
      <x:c r="J147" s="3"/>
    </x:row>
    <x:row r="148" ht="24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</x:row>
    <x:row r="149" ht="24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</x:row>
    <x:row r="150" ht="24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</x:row>
    <x:row r="151" ht="24" customHeight="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</x:row>
    <x:row r="152" ht="29" customHeight="1">
      <x:c r="A152" s="33"/>
      <x:c r="B152" s="36" t="str">
        <x:v>TABLE 11.</x:v>
      </x:c>
      <x:c r="C152" s="37" t="str">
        <x:v>Sentiment classification precision.</x:v>
      </x:c>
      <x:c r="D152" s="37"/>
      <x:c r="E152" s="37"/>
      <x:c r="F152" s="37"/>
      <x:c r="G152" s="37"/>
      <x:c r="H152" s="33"/>
      <x:c r="I152" s="33"/>
      <x:c r="J152" s="33"/>
      <x:c r="K152" s="33"/>
      <x:c r="L152" s="33"/>
    </x:row>
    <x:row r="153" ht="21" customHeight="1">
      <x:c r="A153" s="33"/>
      <x:c r="B153" s="38" t="str">
        <x:v>Türkiye: sentiment_tr, n = 12,760; Indonesian: sentiment, n = 12,760</x:v>
      </x:c>
      <x:c r="C153" s="38"/>
      <x:c r="D153" s="38"/>
      <x:c r="E153" s="38"/>
      <x:c r="F153" s="38"/>
      <x:c r="G153" s="38"/>
      <x:c r="H153" s="33"/>
      <x:c r="I153" s="33"/>
      <x:c r="J153" s="33"/>
      <x:c r="K153" s="33"/>
      <x:c r="L153" s="33"/>
    </x:row>
    <x:row r="154" ht="9" customHeight="1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</x:row>
    <x:row r="155" ht="42" customHeight="1">
      <x:c r="A155" s="33"/>
      <x:c r="B155" s="43" t="str">
        <x:v>Country</x:v>
      </x:c>
      <x:c r="C155" s="43" t="str">
        <x:v>Model</x:v>
      </x:c>
      <x:c r="D155" s="42" t="str">
        <x:v>positive</x:v>
      </x:c>
      <x:c r="E155" s="42" t="str">
        <x:v>negative</x:v>
      </x:c>
      <x:c r="F155" s="42" t="str">
        <x:v>neutral</x:v>
      </x:c>
      <x:c r="G155" s="42" t="str">
        <x:v>Macro-
Precision</x:v>
      </x:c>
      <x:c r="H155" s="33"/>
      <x:c r="I155" s="33"/>
      <x:c r="J155" s="33"/>
      <x:c r="K155" s="33"/>
      <x:c r="L155" s="33"/>
    </x:row>
    <x:row r="156" ht="24" customHeight="1">
      <x:c r="A156" s="33"/>
      <x:c r="B156" s="44" t="str">
        <x:v>Türkiye</x:v>
      </x:c>
      <x:c r="C156" s="44" t="str">
        <x:v>nimble:9b</x:v>
      </x:c>
      <x:c r="D156" s="49" t="n">
        <x:f>'Turkiye'!C116</x:f>
        <x:v>0.8423177392543338</x:v>
      </x:c>
      <x:c r="E156" s="49" t="n">
        <x:f>'Turkiye'!D116</x:f>
        <x:v>0.7036825578075935</x:v>
      </x:c>
      <x:c r="F156" s="49" t="n">
        <x:f>'Turkiye'!E116</x:f>
        <x:v>0.4119760479041916</x:v>
      </x:c>
      <x:c r="G156" s="49" t="n">
        <x:f>AVERAGE(D156:F156)</x:f>
        <x:v>0.6526587816553729</x:v>
      </x:c>
      <x:c r="H156" s="33"/>
      <x:c r="I156" s="33"/>
      <x:c r="J156" s="33"/>
      <x:c r="K156" s="33"/>
      <x:c r="L156" s="33"/>
    </x:row>
    <x:row r="157" ht="24" customHeight="1">
      <x:c r="A157" s="33"/>
      <x:c r="B157" s="44" t="str">
        <x:v>Türkiye</x:v>
      </x:c>
      <x:c r="C157" s="44" t="str">
        <x:v>tev1:0.8b</x:v>
      </x:c>
      <x:c r="D157" s="49" t="n">
        <x:f>'Turkiye'!C117</x:f>
        <x:v>0.8633373607195597</x:v>
      </x:c>
      <x:c r="E157" s="49" t="n">
        <x:f>'Turkiye'!D117</x:f>
        <x:v>0.5977386934673367</x:v>
      </x:c>
      <x:c r="F157" s="49" t="n">
        <x:f>'Turkiye'!E117</x:f>
        <x:v>0.3756574004507889</x:v>
      </x:c>
      <x:c r="G157" s="49" t="n">
        <x:f>AVERAGE(D157:F157)</x:f>
        <x:v>0.6122444848792284</x:v>
      </x:c>
      <x:c r="H157" s="33"/>
      <x:c r="I157" s="33"/>
      <x:c r="J157" s="33"/>
      <x:c r="K157" s="33"/>
      <x:c r="L157" s="33"/>
    </x:row>
    <x:row r="158" ht="24" customHeight="1">
      <x:c r="A158" s="33"/>
      <x:c r="B158" s="44" t="str">
        <x:v>Türkiye</x:v>
      </x:c>
      <x:c r="C158" s="44" t="str">
        <x:v>tev1:4b</x:v>
      </x:c>
      <x:c r="D158" s="49" t="n">
        <x:f>'Turkiye'!C118</x:f>
        <x:v>0.8573164803111327</x:v>
      </x:c>
      <x:c r="E158" s="51" t="n">
        <x:f>'Turkiye'!D118</x:f>
        <x:v>0.7400505369551484</x:v>
      </x:c>
      <x:c r="F158" s="51" t="n">
        <x:f>'Turkiye'!E118</x:f>
        <x:v>0.479502196193265</x:v>
      </x:c>
      <x:c r="G158" s="51" t="n">
        <x:f>AVERAGE(D158:F158)</x:f>
        <x:v>0.6922897378198486</x:v>
      </x:c>
      <x:c r="H158" s="33"/>
      <x:c r="I158" s="33"/>
      <x:c r="J158" s="33"/>
      <x:c r="K158" s="33"/>
      <x:c r="L158" s="33"/>
    </x:row>
    <x:row r="159" ht="24" customHeight="1">
      <x:c r="A159" s="33"/>
      <x:c r="B159" s="44" t="str">
        <x:v>Türkiye</x:v>
      </x:c>
      <x:c r="C159" s="44" t="str">
        <x:v>typesafe/jev-1.13</x:v>
      </x:c>
      <x:c r="D159" s="51" t="n">
        <x:f>'Turkiye'!C119</x:f>
        <x:v>0.8939842844261239</x:v>
      </x:c>
      <x:c r="E159" s="49" t="n">
        <x:f>'Turkiye'!D119</x:f>
        <x:v>0.6212298339957915</x:v>
      </x:c>
      <x:c r="F159" s="49" t="n">
        <x:f>'Turkiye'!E119</x:f>
        <x:v>0.4</x:v>
      </x:c>
      <x:c r="G159" s="49" t="n">
        <x:f>AVERAGE(D159:F159)</x:f>
        <x:v>0.6384047061406384</x:v>
      </x:c>
      <x:c r="H159" s="33"/>
      <x:c r="I159" s="33"/>
      <x:c r="J159" s="33"/>
      <x:c r="K159" s="33"/>
      <x:c r="L159" s="33"/>
    </x:row>
    <x:row r="160" ht="24" customHeight="1">
      <x:c r="A160" s="33"/>
      <x:c r="B160" s="55" t="str">
        <x:v>Indonesian</x:v>
      </x:c>
      <x:c r="C160" s="55" t="str">
        <x:v>nimble:9b</x:v>
      </x:c>
      <x:c r="D160" s="57" t="n">
        <x:f>'Indonesian'!C116</x:f>
        <x:v>0.9289491525423728</x:v>
      </x:c>
      <x:c r="E160" s="57" t="n">
        <x:f>'Indonesian'!D116</x:f>
        <x:v>0.8714726108608015</x:v>
      </x:c>
      <x:c r="F160" s="58" t="n">
        <x:f>'Indonesian'!E116</x:f>
        <x:v>0.6797945205479452</x:v>
      </x:c>
      <x:c r="G160" s="58" t="n">
        <x:f>AVERAGE(D160:F160)</x:f>
        <x:v>0.8267387613170398</x:v>
      </x:c>
      <x:c r="H160" s="33"/>
      <x:c r="I160" s="33"/>
      <x:c r="J160" s="33"/>
      <x:c r="K160" s="33"/>
      <x:c r="L160" s="33"/>
    </x:row>
    <x:row r="161" ht="24" customHeight="1">
      <x:c r="A161" s="33"/>
      <x:c r="B161" s="44" t="str">
        <x:v>Indonesian</x:v>
      </x:c>
      <x:c r="C161" s="44" t="str">
        <x:v>tev1:0.8b</x:v>
      </x:c>
      <x:c r="D161" s="49" t="n">
        <x:f>'Indonesian'!C117</x:f>
        <x:v>0.9128832547169812</x:v>
      </x:c>
      <x:c r="E161" s="49" t="n">
        <x:f>'Indonesian'!D117</x:f>
        <x:v>0.8295918367346938</x:v>
      </x:c>
      <x:c r="F161" s="49" t="n">
        <x:f>'Indonesian'!E117</x:f>
        <x:v>0.3219844357976654</x:v>
      </x:c>
      <x:c r="G161" s="49" t="n">
        <x:f>AVERAGE(D161:F161)</x:f>
        <x:v>0.6881531757497802</x:v>
      </x:c>
      <x:c r="H161" s="33"/>
      <x:c r="I161" s="33"/>
      <x:c r="J161" s="33"/>
      <x:c r="K161" s="33"/>
      <x:c r="L161" s="33"/>
    </x:row>
    <x:row r="162" ht="24" customHeight="1">
      <x:c r="A162" s="33"/>
      <x:c r="B162" s="44" t="str">
        <x:v>Indonesian</x:v>
      </x:c>
      <x:c r="C162" s="44" t="str">
        <x:v>tev1:4b</x:v>
      </x:c>
      <x:c r="D162" s="49" t="n">
        <x:f>'Indonesian'!C118</x:f>
        <x:v>0.9489854244069734</x:v>
      </x:c>
      <x:c r="E162" s="51" t="n">
        <x:f>'Indonesian'!D118</x:f>
        <x:v>0.91619812583668</x:v>
      </x:c>
      <x:c r="F162" s="49" t="n">
        <x:f>'Indonesian'!E118</x:f>
        <x:v>0.4913665515540207</x:v>
      </x:c>
      <x:c r="G162" s="49" t="n">
        <x:f>AVERAGE(D162:F162)</x:f>
        <x:v>0.7855167005992247</x:v>
      </x:c>
      <x:c r="H162" s="33"/>
      <x:c r="I162" s="33"/>
      <x:c r="J162" s="33"/>
      <x:c r="K162" s="33"/>
      <x:c r="L162" s="33"/>
    </x:row>
    <x:row r="163" ht="24" customHeight="1">
      <x:c r="A163" s="33"/>
      <x:c r="B163" s="47" t="str">
        <x:v>Indonesian</x:v>
      </x:c>
      <x:c r="C163" s="47" t="str">
        <x:v>typesafe/jev-1.13</x:v>
      </x:c>
      <x:c r="D163" s="50" t="n">
        <x:f>'Indonesian'!C119</x:f>
        <x:v>0.9516474112109542</x:v>
      </x:c>
      <x:c r="E163" s="52" t="n">
        <x:f>'Indonesian'!D119</x:f>
        <x:v>0.8499115826702034</x:v>
      </x:c>
      <x:c r="F163" s="52" t="n">
        <x:f>'Indonesian'!E119</x:f>
        <x:v>0.6669387755102041</x:v>
      </x:c>
      <x:c r="G163" s="52" t="n">
        <x:f>AVERAGE(D163:F163)</x:f>
        <x:v>0.8228325897971205</x:v>
      </x:c>
      <x:c r="H163" s="33"/>
      <x:c r="I163" s="33"/>
      <x:c r="J163" s="33"/>
      <x:c r="K163" s="33"/>
      <x:c r="L163" s="33"/>
    </x:row>
    <x:row r="164" ht="24" customHeight="1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</x:row>
    <x:row r="165" ht="24" customHeight="1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</x:row>
    <x:row r="166" ht="29" customHeight="1">
      <x:c r="A166" s="33"/>
      <x:c r="B166" s="36" t="str">
        <x:v>TABLE 12.</x:v>
      </x:c>
      <x:c r="C166" s="37" t="str">
        <x:v>Sentiment classification recall.</x:v>
      </x:c>
      <x:c r="D166" s="37"/>
      <x:c r="E166" s="37"/>
      <x:c r="F166" s="37"/>
      <x:c r="G166" s="37"/>
      <x:c r="H166" s="33"/>
      <x:c r="I166" s="33"/>
      <x:c r="J166" s="33"/>
      <x:c r="K166" s="33"/>
      <x:c r="L166" s="33"/>
    </x:row>
    <x:row r="167" ht="21" customHeight="1">
      <x:c r="A167" s="33"/>
      <x:c r="B167" s="38" t="str">
        <x:v>Türkiye: sentiment_tr, n = 12,760; Indonesian: sentiment, n = 12,760</x:v>
      </x:c>
      <x:c r="C167" s="38"/>
      <x:c r="D167" s="38"/>
      <x:c r="E167" s="38"/>
      <x:c r="F167" s="38"/>
      <x:c r="G167" s="38"/>
      <x:c r="H167" s="33"/>
      <x:c r="I167" s="33"/>
      <x:c r="J167" s="33"/>
      <x:c r="K167" s="33"/>
      <x:c r="L167" s="33"/>
    </x:row>
    <x:row r="168" ht="9" customHeight="1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</x:row>
    <x:row r="169" ht="42" customHeight="1">
      <x:c r="A169" s="33"/>
      <x:c r="B169" s="43" t="str">
        <x:v>Country</x:v>
      </x:c>
      <x:c r="C169" s="43" t="str">
        <x:v>Model</x:v>
      </x:c>
      <x:c r="D169" s="42" t="str">
        <x:v>positive</x:v>
      </x:c>
      <x:c r="E169" s="42" t="str">
        <x:v>negative</x:v>
      </x:c>
      <x:c r="F169" s="42" t="str">
        <x:v>neutral</x:v>
      </x:c>
      <x:c r="G169" s="42" t="str">
        <x:v>Macro-
Recall</x:v>
      </x:c>
      <x:c r="H169" s="33"/>
      <x:c r="I169" s="33"/>
      <x:c r="J169" s="33"/>
      <x:c r="K169" s="33"/>
      <x:c r="L169" s="33"/>
    </x:row>
    <x:row r="170" ht="24" customHeight="1">
      <x:c r="A170" s="33"/>
      <x:c r="B170" s="44" t="str">
        <x:v>Türkiye</x:v>
      </x:c>
      <x:c r="C170" s="44" t="str">
        <x:v>nimble:9b</x:v>
      </x:c>
      <x:c r="D170" s="51" t="n">
        <x:f>'Turkiye'!C126</x:f>
        <x:v>0.9292638197537333</x:v>
      </x:c>
      <x:c r="E170" s="49" t="n">
        <x:f>'Turkiye'!D126</x:f>
        <x:v>0.8398637137989778</x:v>
      </x:c>
      <x:c r="F170" s="49" t="n">
        <x:f>'Turkiye'!E126</x:f>
        <x:v>0.15700593336376084</x:v>
      </x:c>
      <x:c r="G170" s="49" t="n">
        <x:f>AVERAGE(D170:F170)</x:f>
        <x:v>0.6420444889721573</x:v>
      </x:c>
      <x:c r="H170" s="33"/>
      <x:c r="I170" s="33"/>
      <x:c r="J170" s="33"/>
      <x:c r="K170" s="33"/>
      <x:c r="L170" s="33"/>
    </x:row>
    <x:row r="171" ht="24" customHeight="1">
      <x:c r="A171" s="33"/>
      <x:c r="B171" s="44" t="str">
        <x:v>Türkiye</x:v>
      </x:c>
      <x:c r="C171" s="44" t="str">
        <x:v>tev1:0.8b</x:v>
      </x:c>
      <x:c r="D171" s="49" t="n">
        <x:f>'Turkiye'!C127</x:f>
        <x:v>0.8424155095624837</x:v>
      </x:c>
      <x:c r="E171" s="49" t="n">
        <x:f>'Turkiye'!D127</x:f>
        <x:v>0.8105621805792164</x:v>
      </x:c>
      <x:c r="F171" s="49" t="n">
        <x:f>'Turkiye'!E127</x:f>
        <x:v>0.22820629849383842</x:v>
      </x:c>
      <x:c r="G171" s="49" t="n">
        <x:f>AVERAGE(D171:F171)</x:f>
        <x:v>0.6270613295451796</x:v>
      </x:c>
      <x:c r="H171" s="33"/>
      <x:c r="I171" s="33"/>
      <x:c r="J171" s="33"/>
      <x:c r="K171" s="33"/>
      <x:c r="L171" s="33"/>
    </x:row>
    <x:row r="172" ht="24" customHeight="1">
      <x:c r="A172" s="33"/>
      <x:c r="B172" s="44" t="str">
        <x:v>Türkiye</x:v>
      </x:c>
      <x:c r="C172" s="44" t="str">
        <x:v>tev1:4b</x:v>
      </x:c>
      <x:c r="D172" s="49" t="n">
        <x:f>'Turkiye'!C128</x:f>
        <x:v>0.9240241026984543</x:v>
      </x:c>
      <x:c r="E172" s="49" t="n">
        <x:f>'Turkiye'!D128</x:f>
        <x:v>0.7982964224872232</x:v>
      </x:c>
      <x:c r="F172" s="51" t="n">
        <x:f>'Turkiye'!E128</x:f>
        <x:v>0.29895025102692835</x:v>
      </x:c>
      <x:c r="G172" s="51" t="n">
        <x:f>AVERAGE(D172:F172)</x:f>
        <x:v>0.6737569254042018</x:v>
      </x:c>
      <x:c r="H172" s="33"/>
      <x:c r="I172" s="33"/>
      <x:c r="J172" s="33"/>
      <x:c r="K172" s="33"/>
      <x:c r="L172" s="33"/>
    </x:row>
    <x:row r="173" ht="24" customHeight="1">
      <x:c r="A173" s="33"/>
      <x:c r="B173" s="44" t="str">
        <x:v>Türkiye</x:v>
      </x:c>
      <x:c r="C173" s="44" t="str">
        <x:v>typesafe/jev-1.13</x:v>
      </x:c>
      <x:c r="D173" s="49" t="n">
        <x:f>'Turkiye'!C129</x:f>
        <x:v>0.9090909090909091</x:v>
      </x:c>
      <x:c r="E173" s="51" t="n">
        <x:f>'Turkiye'!D129</x:f>
        <x:v>0.9052810902896081</x:v>
      </x:c>
      <x:c r="F173" s="49" t="n">
        <x:f>'Turkiye'!E129</x:f>
        <x:v>0.13144682793245094</x:v>
      </x:c>
      <x:c r="G173" s="49" t="n">
        <x:f>AVERAGE(D173:F173)</x:f>
        <x:v>0.6486062757709894</x:v>
      </x:c>
      <x:c r="H173" s="33"/>
      <x:c r="I173" s="33"/>
      <x:c r="J173" s="33"/>
      <x:c r="K173" s="33"/>
      <x:c r="L173" s="33"/>
    </x:row>
    <x:row r="174" ht="24" customHeight="1">
      <x:c r="A174" s="33"/>
      <x:c r="B174" s="55" t="str">
        <x:v>Indonesian</x:v>
      </x:c>
      <x:c r="C174" s="55" t="str">
        <x:v>nimble:9b</x:v>
      </x:c>
      <x:c r="D174" s="58" t="n">
        <x:f>'Indonesian'!C126</x:f>
        <x:v>0.9309688816415274</x:v>
      </x:c>
      <x:c r="E174" s="57" t="n">
        <x:f>'Indonesian'!D126</x:f>
        <x:v>0.9110064452156668</x:v>
      </x:c>
      <x:c r="F174" s="57" t="n">
        <x:f>'Indonesian'!E126</x:f>
        <x:v>0.5808339429407462</x:v>
      </x:c>
      <x:c r="G174" s="57" t="n">
        <x:f>AVERAGE(D174:F174)</x:f>
        <x:v>0.8076030899326468</x:v>
      </x:c>
      <x:c r="H174" s="33"/>
      <x:c r="I174" s="33"/>
      <x:c r="J174" s="33"/>
      <x:c r="K174" s="33"/>
      <x:c r="L174" s="33"/>
    </x:row>
    <x:row r="175" ht="24" customHeight="1">
      <x:c r="A175" s="33"/>
      <x:c r="B175" s="44" t="str">
        <x:v>Indonesian</x:v>
      </x:c>
      <x:c r="C175" s="44" t="str">
        <x:v>tev1:0.8b</x:v>
      </x:c>
      <x:c r="D175" s="49" t="n">
        <x:f>'Indonesian'!C127</x:f>
        <x:v>0.8415545590433483</x:v>
      </x:c>
      <x:c r="E175" s="49" t="n">
        <x:f>'Indonesian'!D127</x:f>
        <x:v>0.8061477441745166</x:v>
      </x:c>
      <x:c r="F175" s="49" t="n">
        <x:f>'Indonesian'!E127</x:f>
        <x:v>0.4842721287490856</x:v>
      </x:c>
      <x:c r="G175" s="49" t="n">
        <x:f>AVERAGE(D175:F175)</x:f>
        <x:v>0.7106581439889834</x:v>
      </x:c>
      <x:c r="H175" s="33"/>
      <x:c r="I175" s="33"/>
      <x:c r="J175" s="33"/>
      <x:c r="K175" s="33"/>
      <x:c r="L175" s="33"/>
    </x:row>
    <x:row r="176" ht="24" customHeight="1">
      <x:c r="A176" s="33"/>
      <x:c r="B176" s="44" t="str">
        <x:v>Indonesian</x:v>
      </x:c>
      <x:c r="C176" s="44" t="str">
        <x:v>tev1:4b</x:v>
      </x:c>
      <x:c r="D176" s="49" t="n">
        <x:f>'Indonesian'!C128</x:f>
        <x:v>0.9024323957059384</x:v>
      </x:c>
      <x:c r="E176" s="49" t="n">
        <x:f>'Indonesian'!D128</x:f>
        <x:v>0.8482895389191869</x:v>
      </x:c>
      <x:c r="F176" s="51" t="n">
        <x:f>'Indonesian'!E128</x:f>
        <x:v>0.7286027798098025</x:v>
      </x:c>
      <x:c r="G176" s="51" t="n">
        <x:f>AVERAGE(D176:F176)</x:f>
        <x:v>0.8264415714783092</x:v>
      </x:c>
      <x:c r="H176" s="33"/>
      <x:c r="I176" s="33"/>
      <x:c r="J176" s="33"/>
      <x:c r="K176" s="33"/>
      <x:c r="L176" s="33"/>
    </x:row>
    <x:row r="177" ht="24" customHeight="1">
      <x:c r="A177" s="33"/>
      <x:c r="B177" s="47" t="str">
        <x:v>Indonesian</x:v>
      </x:c>
      <x:c r="C177" s="47" t="str">
        <x:v>typesafe/jev-1.13</x:v>
      </x:c>
      <x:c r="D177" s="52" t="n">
        <x:f>'Indonesian'!C129</x:f>
        <x:v>0.9066449245821444</x:v>
      </x:c>
      <x:c r="E177" s="50" t="n">
        <x:f>'Indonesian'!D129</x:f>
        <x:v>0.9531482399603372</x:v>
      </x:c>
      <x:c r="F177" s="52" t="n">
        <x:f>'Indonesian'!E129</x:f>
        <x:v>0.5976591075347476</x:v>
      </x:c>
      <x:c r="G177" s="52" t="n">
        <x:f>AVERAGE(D177:F177)</x:f>
        <x:v>0.8191507573590764</x:v>
      </x:c>
      <x:c r="H177" s="33"/>
      <x:c r="I177" s="33"/>
      <x:c r="J177" s="33"/>
      <x:c r="K177" s="33"/>
      <x:c r="L177" s="33"/>
    </x:row>
    <x:row r="178" ht="24" customHeight="1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</x:row>
    <x:row r="179" ht="24" customHeight="1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</x:row>
    <x:row r="180" ht="29" customHeight="1">
      <x:c r="A180" s="33"/>
      <x:c r="B180" s="36" t="str">
        <x:v>TABLE 13.</x:v>
      </x:c>
      <x:c r="C180" s="37" t="str">
        <x:v>Sentiment classification F1.</x:v>
      </x:c>
      <x:c r="D180" s="37"/>
      <x:c r="E180" s="37"/>
      <x:c r="F180" s="37"/>
      <x:c r="G180" s="37"/>
      <x:c r="H180" s="33"/>
      <x:c r="I180" s="33"/>
      <x:c r="J180" s="33"/>
      <x:c r="K180" s="33"/>
      <x:c r="L180" s="33"/>
    </x:row>
    <x:row r="181" ht="21" customHeight="1">
      <x:c r="A181" s="33"/>
      <x:c r="B181" s="38" t="str">
        <x:v>Türkiye: sentiment_tr, n = 12,760; Indonesian: sentiment, n = 12,760</x:v>
      </x:c>
      <x:c r="C181" s="38"/>
      <x:c r="D181" s="38"/>
      <x:c r="E181" s="38"/>
      <x:c r="F181" s="38"/>
      <x:c r="G181" s="38"/>
      <x:c r="H181" s="33"/>
      <x:c r="I181" s="33"/>
      <x:c r="J181" s="33"/>
      <x:c r="K181" s="33"/>
      <x:c r="L181" s="33"/>
    </x:row>
    <x:row r="182" ht="9" customHeight="1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</x:row>
    <x:row r="183" ht="42" customHeight="1">
      <x:c r="A183" s="33"/>
      <x:c r="B183" s="43" t="str">
        <x:v>Country</x:v>
      </x:c>
      <x:c r="C183" s="43" t="str">
        <x:v>Model</x:v>
      </x:c>
      <x:c r="D183" s="42" t="str">
        <x:v>positive</x:v>
      </x:c>
      <x:c r="E183" s="42" t="str">
        <x:v>negative</x:v>
      </x:c>
      <x:c r="F183" s="42" t="str">
        <x:v>neutral</x:v>
      </x:c>
      <x:c r="G183" s="42" t="str">
        <x:v>Macro-F1</x:v>
      </x:c>
      <x:c r="H183" s="33"/>
      <x:c r="I183" s="33"/>
      <x:c r="J183" s="33"/>
      <x:c r="K183" s="33"/>
      <x:c r="L183" s="33"/>
    </x:row>
    <x:row r="184" ht="24" customHeight="1">
      <x:c r="A184" s="33"/>
      <x:c r="B184" s="44" t="str">
        <x:v>Türkiye</x:v>
      </x:c>
      <x:c r="C184" s="44" t="str">
        <x:v>nimble:9b</x:v>
      </x:c>
      <x:c r="D184" s="49" t="n">
        <x:f>'Turkiye'!C136</x:f>
        <x:v>0.8836571998006976</x:v>
      </x:c>
      <x:c r="E184" s="49" t="n">
        <x:f>'Turkiye'!D136</x:f>
        <x:v>0.7657657657657657</x:v>
      </x:c>
      <x:c r="F184" s="49" t="n">
        <x:f>'Turkiye'!E136</x:f>
        <x:v>0.22736285525446134</x:v>
      </x:c>
      <x:c r="G184" s="49" t="n">
        <x:f>AVERAGE(D184:F184)</x:f>
        <x:v>0.6255952736069749</x:v>
      </x:c>
      <x:c r="H184" s="33"/>
      <x:c r="I184" s="33"/>
      <x:c r="J184" s="33"/>
      <x:c r="K184" s="33"/>
      <x:c r="L184" s="33"/>
    </x:row>
    <x:row r="185" ht="24" customHeight="1">
      <x:c r="A185" s="33"/>
      <x:c r="B185" s="44" t="str">
        <x:v>Türkiye</x:v>
      </x:c>
      <x:c r="C185" s="44" t="str">
        <x:v>tev1:0.8b</x:v>
      </x:c>
      <x:c r="D185" s="49" t="n">
        <x:f>'Turkiye'!C137</x:f>
        <x:v>0.8527481270304316</x:v>
      </x:c>
      <x:c r="E185" s="49" t="n">
        <x:f>'Turkiye'!D137</x:f>
        <x:v>0.6880694143167028</x:v>
      </x:c>
      <x:c r="F185" s="49" t="n">
        <x:f>'Turkiye'!E137</x:f>
        <x:v>0.2839295854628052</x:v>
      </x:c>
      <x:c r="G185" s="49" t="n">
        <x:f>AVERAGE(D185:F185)</x:f>
        <x:v>0.6082490422699799</x:v>
      </x:c>
      <x:c r="H185" s="33"/>
      <x:c r="I185" s="33"/>
      <x:c r="J185" s="33"/>
      <x:c r="K185" s="33"/>
      <x:c r="L185" s="33"/>
    </x:row>
    <x:row r="186" ht="24" customHeight="1">
      <x:c r="A186" s="33"/>
      <x:c r="B186" s="44" t="str">
        <x:v>Türkiye</x:v>
      </x:c>
      <x:c r="C186" s="44" t="str">
        <x:v>tev1:4b</x:v>
      </x:c>
      <x:c r="D186" s="49" t="n">
        <x:f>'Turkiye'!C138</x:f>
        <x:v>0.8894212583532972</x:v>
      </x:c>
      <x:c r="E186" s="51" t="n">
        <x:f>'Turkiye'!D138</x:f>
        <x:v>0.7680708080642518</x:v>
      </x:c>
      <x:c r="F186" s="51" t="n">
        <x:f>'Turkiye'!E138</x:f>
        <x:v>0.3682878830475119</x:v>
      </x:c>
      <x:c r="G186" s="51" t="n">
        <x:f>AVERAGE(D186:F186)</x:f>
        <x:v>0.6752599831550202</x:v>
      </x:c>
      <x:c r="H186" s="33"/>
      <x:c r="I186" s="33"/>
      <x:c r="J186" s="33"/>
      <x:c r="K186" s="33"/>
      <x:c r="L186" s="33"/>
    </x:row>
    <x:row r="187" ht="24" customHeight="1">
      <x:c r="A187" s="33"/>
      <x:c r="B187" s="44" t="str">
        <x:v>Türkiye</x:v>
      </x:c>
      <x:c r="C187" s="44" t="str">
        <x:v>typesafe/jev-1.13</x:v>
      </x:c>
      <x:c r="D187" s="51" t="n">
        <x:f>'Turkiye'!C139</x:f>
        <x:v>0.9014743131778918</x:v>
      </x:c>
      <x:c r="E187" s="49" t="n">
        <x:f>'Turkiye'!D139</x:f>
        <x:v>0.7368275097060455</x:v>
      </x:c>
      <x:c r="F187" s="49" t="n">
        <x:f>'Turkiye'!E139</x:f>
        <x:v>0.19787014771556166</x:v>
      </x:c>
      <x:c r="G187" s="49" t="n">
        <x:f>AVERAGE(D187:F187)</x:f>
        <x:v>0.6120573235331662</x:v>
      </x:c>
      <x:c r="H187" s="33"/>
      <x:c r="I187" s="33"/>
      <x:c r="J187" s="33"/>
      <x:c r="K187" s="33"/>
      <x:c r="L187" s="33"/>
    </x:row>
    <x:row r="188" ht="24" customHeight="1">
      <x:c r="A188" s="33"/>
      <x:c r="B188" s="55" t="str">
        <x:v>Indonesian</x:v>
      </x:c>
      <x:c r="C188" s="55" t="str">
        <x:v>nimble:9b</x:v>
      </x:c>
      <x:c r="D188" s="58" t="n">
        <x:f>'Indonesian'!C136</x:f>
        <x:v>0.929957920456088</x:v>
      </x:c>
      <x:c r="E188" s="57" t="n">
        <x:f>'Indonesian'!D136</x:f>
        <x:v>0.8908011150163616</x:v>
      </x:c>
      <x:c r="F188" s="57" t="n">
        <x:f>'Indonesian'!E136</x:f>
        <x:v>0.6264299802761342</x:v>
      </x:c>
      <x:c r="G188" s="57" t="n">
        <x:f>AVERAGE(D188:F188)</x:f>
        <x:v>0.8157296719161945</x:v>
      </x:c>
      <x:c r="H188" s="33"/>
      <x:c r="I188" s="33"/>
      <x:c r="J188" s="33"/>
      <x:c r="K188" s="33"/>
      <x:c r="L188" s="33"/>
    </x:row>
    <x:row r="189" ht="24" customHeight="1">
      <x:c r="A189" s="33"/>
      <x:c r="B189" s="44" t="str">
        <x:v>Indonesian</x:v>
      </x:c>
      <x:c r="C189" s="44" t="str">
        <x:v>tev1:0.8b</x:v>
      </x:c>
      <x:c r="D189" s="49" t="n">
        <x:f>'Indonesian'!C137</x:f>
        <x:v>0.8757689316269532</x:v>
      </x:c>
      <x:c r="E189" s="49" t="n">
        <x:f>'Indonesian'!D137</x:f>
        <x:v>0.8177017852652754</x:v>
      </x:c>
      <x:c r="F189" s="49" t="n">
        <x:f>'Indonesian'!E137</x:f>
        <x:v>0.3867952088810985</x:v>
      </x:c>
      <x:c r="G189" s="49" t="n">
        <x:f>AVERAGE(D189:F189)</x:f>
        <x:v>0.6934219752577757</x:v>
      </x:c>
      <x:c r="H189" s="33"/>
      <x:c r="I189" s="33"/>
      <x:c r="J189" s="33"/>
      <x:c r="K189" s="33"/>
      <x:c r="L189" s="33"/>
    </x:row>
    <x:row r="190" ht="24" customHeight="1">
      <x:c r="A190" s="33"/>
      <x:c r="B190" s="44" t="str">
        <x:v>Indonesian</x:v>
      </x:c>
      <x:c r="C190" s="44" t="str">
        <x:v>tev1:4b</x:v>
      </x:c>
      <x:c r="D190" s="49" t="n">
        <x:f>'Indonesian'!C138</x:f>
        <x:v>0.9251236330709758</x:v>
      </x:c>
      <x:c r="E190" s="49" t="n">
        <x:f>'Indonesian'!D138</x:f>
        <x:v>0.8809370575363624</x:v>
      </x:c>
      <x:c r="F190" s="49" t="n">
        <x:f>'Indonesian'!E138</x:f>
        <x:v>0.5869180907483795</x:v>
      </x:c>
      <x:c r="G190" s="49" t="n">
        <x:f>AVERAGE(D190:F190)</x:f>
        <x:v>0.7976595937852392</x:v>
      </x:c>
      <x:c r="H190" s="33"/>
      <x:c r="I190" s="33"/>
      <x:c r="J190" s="33"/>
      <x:c r="K190" s="33"/>
      <x:c r="L190" s="33"/>
    </x:row>
    <x:row r="191" ht="24" customHeight="1">
      <x:c r="A191" s="33"/>
      <x:c r="B191" s="47" t="str">
        <x:v>Indonesian</x:v>
      </x:c>
      <x:c r="C191" s="47" t="str">
        <x:v>typesafe/jev-1.13</x:v>
      </x:c>
      <x:c r="D191" s="52" t="n">
        <x:f>'Indonesian'!C139</x:f>
        <x:v>0.9286012526096034</x:v>
      </x:c>
      <x:c r="E191" s="50" t="n">
        <x:f>'Indonesian'!D139</x:f>
        <x:v>0.8985744332788035</x:v>
      </x:c>
      <x:c r="F191" s="50" t="n">
        <x:f>'Indonesian'!E139</x:f>
        <x:v>0.6304012345679012</x:v>
      </x:c>
      <x:c r="G191" s="50" t="n">
        <x:f>AVERAGE(D191:F191)</x:f>
        <x:v>0.8191923068187693</x:v>
      </x:c>
      <x:c r="H191" s="33"/>
      <x:c r="I191" s="33"/>
      <x:c r="J191" s="33"/>
      <x:c r="K191" s="33"/>
      <x:c r="L191" s="33"/>
    </x:row>
    <x:row r="192" ht="24" customHeight="1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</x:row>
    <x:row r="193" ht="24" customHeight="1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</x:row>
    <x:row r="194" ht="29" customHeight="1">
      <x:c r="A194" s="33"/>
      <x:c r="B194" s="36" t="str">
        <x:v>TABLE 14.</x:v>
      </x:c>
      <x:c r="C194" s="37" t="str">
        <x:v>Sentiment classification support.</x:v>
      </x:c>
      <x:c r="D194" s="37"/>
      <x:c r="E194" s="37"/>
      <x:c r="F194" s="37"/>
      <x:c r="G194" s="37"/>
      <x:c r="H194" s="33"/>
      <x:c r="I194" s="33"/>
      <x:c r="J194" s="33"/>
      <x:c r="K194" s="33"/>
      <x:c r="L194" s="33"/>
    </x:row>
    <x:row r="195" ht="21" customHeight="1">
      <x:c r="A195" s="33"/>
      <x:c r="B195" s="38" t="str">
        <x:v>Türkiye: sentiment_tr, n = 12,760; Indonesian: sentiment, n = 12,760</x:v>
      </x:c>
      <x:c r="C195" s="38"/>
      <x:c r="D195" s="38"/>
      <x:c r="E195" s="38"/>
      <x:c r="F195" s="38"/>
      <x:c r="G195" s="38"/>
      <x:c r="H195" s="33"/>
      <x:c r="I195" s="33"/>
      <x:c r="J195" s="33"/>
      <x:c r="K195" s="33"/>
      <x:c r="L195" s="33"/>
    </x:row>
    <x:row r="196" ht="9" customHeight="1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</x:row>
    <x:row r="197" ht="42" customHeight="1">
      <x:c r="A197" s="33"/>
      <x:c r="B197" s="43" t="str">
        <x:v>Country</x:v>
      </x:c>
      <x:c r="C197" s="43" t="str">
        <x:v>Model</x:v>
      </x:c>
      <x:c r="D197" s="42" t="str">
        <x:v>positive</x:v>
      </x:c>
      <x:c r="E197" s="42" t="str">
        <x:v>negative</x:v>
      </x:c>
      <x:c r="F197" s="42" t="str">
        <x:v>neutral</x:v>
      </x:c>
      <x:c r="G197" s="42" t="str">
        <x:v>Total</x:v>
      </x:c>
      <x:c r="H197" s="33"/>
      <x:c r="I197" s="33"/>
      <x:c r="J197" s="33"/>
      <x:c r="K197" s="33"/>
      <x:c r="L197" s="33"/>
    </x:row>
    <x:row r="198" ht="24" customHeight="1">
      <x:c r="A198" s="33"/>
      <x:c r="B198" s="44" t="str">
        <x:v>Türkiye</x:v>
      </x:c>
      <x:c r="C198" s="44" t="str">
        <x:v>nimble:9b</x:v>
      </x:c>
      <x:c r="D198" s="53" t="n">
        <x:f>'Turkiye'!C146</x:f>
        <x:v>7634</x:v>
      </x:c>
      <x:c r="E198" s="53" t="n">
        <x:f>'Turkiye'!D146</x:f>
        <x:v>2935</x:v>
      </x:c>
      <x:c r="F198" s="53" t="n">
        <x:f>'Turkiye'!E146</x:f>
        <x:v>2191</x:v>
      </x:c>
      <x:c r="G198" s="53" t="n">
        <x:f>SUM(D198:F198)</x:f>
        <x:v>12760</x:v>
      </x:c>
      <x:c r="H198" s="33"/>
      <x:c r="I198" s="33"/>
      <x:c r="J198" s="33"/>
      <x:c r="K198" s="33"/>
      <x:c r="L198" s="33"/>
    </x:row>
    <x:row r="199" ht="24" customHeight="1">
      <x:c r="A199" s="33"/>
      <x:c r="B199" s="44" t="str">
        <x:v>Türkiye</x:v>
      </x:c>
      <x:c r="C199" s="44" t="str">
        <x:v>tev1:0.8b</x:v>
      </x:c>
      <x:c r="D199" s="53" t="n">
        <x:f>'Turkiye'!C147</x:f>
        <x:v>7634</x:v>
      </x:c>
      <x:c r="E199" s="53" t="n">
        <x:f>'Turkiye'!D147</x:f>
        <x:v>2935</x:v>
      </x:c>
      <x:c r="F199" s="53" t="n">
        <x:f>'Turkiye'!E147</x:f>
        <x:v>2191</x:v>
      </x:c>
      <x:c r="G199" s="53" t="n">
        <x:f>SUM(D199:F199)</x:f>
        <x:v>12760</x:v>
      </x:c>
      <x:c r="H199" s="33"/>
      <x:c r="I199" s="33"/>
      <x:c r="J199" s="33"/>
      <x:c r="K199" s="33"/>
      <x:c r="L199" s="33"/>
    </x:row>
    <x:row r="200" ht="24" customHeight="1">
      <x:c r="A200" s="33"/>
      <x:c r="B200" s="44" t="str">
        <x:v>Türkiye</x:v>
      </x:c>
      <x:c r="C200" s="44" t="str">
        <x:v>tev1:4b</x:v>
      </x:c>
      <x:c r="D200" s="53" t="n">
        <x:f>'Turkiye'!C148</x:f>
        <x:v>7634</x:v>
      </x:c>
      <x:c r="E200" s="53" t="n">
        <x:f>'Turkiye'!D148</x:f>
        <x:v>2935</x:v>
      </x:c>
      <x:c r="F200" s="53" t="n">
        <x:f>'Turkiye'!E148</x:f>
        <x:v>2191</x:v>
      </x:c>
      <x:c r="G200" s="53" t="n">
        <x:f>SUM(D200:F200)</x:f>
        <x:v>12760</x:v>
      </x:c>
      <x:c r="H200" s="33"/>
      <x:c r="I200" s="33"/>
      <x:c r="J200" s="33"/>
      <x:c r="K200" s="33"/>
      <x:c r="L200" s="33"/>
    </x:row>
    <x:row r="201" ht="24" customHeight="1">
      <x:c r="A201" s="33"/>
      <x:c r="B201" s="44" t="str">
        <x:v>Türkiye</x:v>
      </x:c>
      <x:c r="C201" s="44" t="str">
        <x:v>typesafe/jev-1.13</x:v>
      </x:c>
      <x:c r="D201" s="53" t="n">
        <x:f>'Turkiye'!C149</x:f>
        <x:v>7634</x:v>
      </x:c>
      <x:c r="E201" s="53" t="n">
        <x:f>'Turkiye'!D149</x:f>
        <x:v>2935</x:v>
      </x:c>
      <x:c r="F201" s="53" t="n">
        <x:f>'Turkiye'!E149</x:f>
        <x:v>2191</x:v>
      </x:c>
      <x:c r="G201" s="53" t="n">
        <x:f>SUM(D201:F201)</x:f>
        <x:v>12760</x:v>
      </x:c>
      <x:c r="H201" s="33"/>
      <x:c r="I201" s="33"/>
      <x:c r="J201" s="33"/>
      <x:c r="K201" s="33"/>
      <x:c r="L201" s="33"/>
    </x:row>
    <x:row r="202" ht="24" customHeight="1">
      <x:c r="A202" s="33"/>
      <x:c r="B202" s="55" t="str">
        <x:v>Indonesian</x:v>
      </x:c>
      <x:c r="C202" s="55" t="str">
        <x:v>nimble:9b</x:v>
      </x:c>
      <x:c r="D202" s="59" t="n">
        <x:f>'Indonesian'!C146</x:f>
        <x:v>7359</x:v>
      </x:c>
      <x:c r="E202" s="59" t="n">
        <x:f>'Indonesian'!D146</x:f>
        <x:v>4034</x:v>
      </x:c>
      <x:c r="F202" s="59" t="n">
        <x:f>'Indonesian'!E146</x:f>
        <x:v>1367</x:v>
      </x:c>
      <x:c r="G202" s="59" t="n">
        <x:f>SUM(D202:F202)</x:f>
        <x:v>12760</x:v>
      </x:c>
      <x:c r="H202" s="33"/>
      <x:c r="I202" s="33"/>
      <x:c r="J202" s="33"/>
      <x:c r="K202" s="33"/>
      <x:c r="L202" s="33"/>
    </x:row>
    <x:row r="203" ht="24" customHeight="1">
      <x:c r="A203" s="33"/>
      <x:c r="B203" s="44" t="str">
        <x:v>Indonesian</x:v>
      </x:c>
      <x:c r="C203" s="44" t="str">
        <x:v>tev1:0.8b</x:v>
      </x:c>
      <x:c r="D203" s="53" t="n">
        <x:f>'Indonesian'!C147</x:f>
        <x:v>7359</x:v>
      </x:c>
      <x:c r="E203" s="53" t="n">
        <x:f>'Indonesian'!D147</x:f>
        <x:v>4034</x:v>
      </x:c>
      <x:c r="F203" s="53" t="n">
        <x:f>'Indonesian'!E147</x:f>
        <x:v>1367</x:v>
      </x:c>
      <x:c r="G203" s="53" t="n">
        <x:f>SUM(D203:F203)</x:f>
        <x:v>12760</x:v>
      </x:c>
      <x:c r="H203" s="33"/>
      <x:c r="I203" s="33"/>
      <x:c r="J203" s="33"/>
      <x:c r="K203" s="33"/>
      <x:c r="L203" s="33"/>
    </x:row>
    <x:row r="204" ht="24" customHeight="1">
      <x:c r="A204" s="33"/>
      <x:c r="B204" s="44" t="str">
        <x:v>Indonesian</x:v>
      </x:c>
      <x:c r="C204" s="44" t="str">
        <x:v>tev1:4b</x:v>
      </x:c>
      <x:c r="D204" s="53" t="n">
        <x:f>'Indonesian'!C148</x:f>
        <x:v>7359</x:v>
      </x:c>
      <x:c r="E204" s="53" t="n">
        <x:f>'Indonesian'!D148</x:f>
        <x:v>4034</x:v>
      </x:c>
      <x:c r="F204" s="53" t="n">
        <x:f>'Indonesian'!E148</x:f>
        <x:v>1367</x:v>
      </x:c>
      <x:c r="G204" s="53" t="n">
        <x:f>SUM(D204:F204)</x:f>
        <x:v>12760</x:v>
      </x:c>
      <x:c r="H204" s="33"/>
      <x:c r="I204" s="33"/>
      <x:c r="J204" s="33"/>
      <x:c r="K204" s="33"/>
      <x:c r="L204" s="33"/>
    </x:row>
    <x:row r="205" ht="24" customHeight="1">
      <x:c r="A205" s="33"/>
      <x:c r="B205" s="47" t="str">
        <x:v>Indonesian</x:v>
      </x:c>
      <x:c r="C205" s="47" t="str">
        <x:v>typesafe/jev-1.13</x:v>
      </x:c>
      <x:c r="D205" s="54" t="n">
        <x:f>'Indonesian'!C149</x:f>
        <x:v>7359</x:v>
      </x:c>
      <x:c r="E205" s="54" t="n">
        <x:f>'Indonesian'!D149</x:f>
        <x:v>4034</x:v>
      </x:c>
      <x:c r="F205" s="54" t="n">
        <x:f>'Indonesian'!E149</x:f>
        <x:v>1367</x:v>
      </x:c>
      <x:c r="G205" s="54" t="n">
        <x:f>SUM(D205:F205)</x:f>
        <x:v>12760</x:v>
      </x:c>
      <x:c r="H205" s="33"/>
      <x:c r="I205" s="33"/>
      <x:c r="J205" s="33"/>
      <x:c r="K205" s="33"/>
      <x:c r="L205" s="33"/>
    </x:row>
    <x:row r="206" ht="24" customHeight="1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</x:row>
    <x:row r="207" ht="24" customHeight="1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</x:row>
    <x:row r="208" ht="29" customHeight="1">
      <x:c r="A208" s="33"/>
      <x:c r="B208" s="36" t="str">
        <x:v>TABLE 15.</x:v>
      </x:c>
      <x:c r="C208" s="37" t="str">
        <x:v>Türkiye emotion classification precision.</x:v>
      </x:c>
      <x:c r="D208" s="37"/>
      <x:c r="E208" s="37"/>
      <x:c r="F208" s="37"/>
      <x:c r="G208" s="37"/>
      <x:c r="H208" s="37"/>
      <x:c r="I208" s="37"/>
      <x:c r="J208" s="37"/>
      <x:c r="K208" s="37"/>
      <x:c r="L208" s="37"/>
    </x:row>
    <x:row r="209" ht="21" customHeight="1">
      <x:c r="A209" s="33"/>
      <x:c r="B209" s="38" t="str">
        <x:v>Türkiye: emotion_tr, n = 4,403</x:v>
      </x:c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</x:row>
    <x:row r="210" ht="9" customHeight="1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</x:row>
    <x:row r="211" ht="42" customHeight="1">
      <x:c r="A211" s="33"/>
      <x:c r="B211" s="43" t="str">
        <x:v>Country</x:v>
      </x:c>
      <x:c r="C211" s="43" t="str">
        <x:v>Model</x:v>
      </x:c>
      <x:c r="D211" s="42" t="str">
        <x:v>iğrenme</x:v>
      </x:c>
      <x:c r="E211" s="42" t="str">
        <x:v>korku</x:v>
      </x:c>
      <x:c r="F211" s="42" t="str">
        <x:v>minnet</x:v>
      </x:c>
      <x:c r="G211" s="42" t="str">
        <x:v>pişmanlık</x:v>
      </x:c>
      <x:c r="H211" s="42" t="str">
        <x:v>mutluluk</x:v>
      </x:c>
      <x:c r="I211" s="42" t="str">
        <x:v>öfke</x:v>
      </x:c>
      <x:c r="J211" s="42" t="str">
        <x:v>şaşkınlık</x:v>
      </x:c>
      <x:c r="K211" s="42" t="str">
        <x:v>üzüntü</x:v>
      </x:c>
      <x:c r="L211" s="42" t="str">
        <x:v>Macro-
Precision</x:v>
      </x:c>
    </x:row>
    <x:row r="212" ht="24" customHeight="1">
      <x:c r="A212" s="33"/>
      <x:c r="B212" s="44" t="str">
        <x:v>Türkiye</x:v>
      </x:c>
      <x:c r="C212" s="44" t="str">
        <x:v>nimble:9b</x:v>
      </x:c>
      <x:c r="D212" s="49" t="n">
        <x:f>'Turkiye'!C156</x:f>
        <x:v>0.6795422031473534</x:v>
      </x:c>
      <x:c r="E212" s="49" t="n">
        <x:f>'Turkiye'!D156</x:f>
        <x:v>0.8053097345132744</x:v>
      </x:c>
      <x:c r="F212" s="49" t="n">
        <x:f>'Turkiye'!E156</x:f>
        <x:v>0.8590604026845637</x:v>
      </x:c>
      <x:c r="G212" s="49" t="n">
        <x:f>'Turkiye'!F156</x:f>
        <x:v>0.7884940778341794</x:v>
      </x:c>
      <x:c r="H212" s="49" t="n">
        <x:f>'Turkiye'!G156</x:f>
        <x:v>0.6339869281045751</x:v>
      </x:c>
      <x:c r="I212" s="49" t="n">
        <x:f>'Turkiye'!H156</x:f>
        <x:v>0.6559139784946236</x:v>
      </x:c>
      <x:c r="J212" s="49" t="n">
        <x:f>'Turkiye'!I156</x:f>
        <x:v>0.6848249027237354</x:v>
      </x:c>
      <x:c r="K212" s="49" t="n">
        <x:f>'Turkiye'!J156</x:f>
        <x:v>0.6235294117647059</x:v>
      </x:c>
      <x:c r="L212" s="49" t="n">
        <x:f>AVERAGE(D212:K212)</x:f>
        <x:v>0.7163327049083763</x:v>
      </x:c>
    </x:row>
    <x:row r="213" ht="24" customHeight="1">
      <x:c r="A213" s="33"/>
      <x:c r="B213" s="44" t="str">
        <x:v>Türkiye</x:v>
      </x:c>
      <x:c r="C213" s="44" t="str">
        <x:v>tev1:0.8b</x:v>
      </x:c>
      <x:c r="D213" s="49" t="n">
        <x:f>'Turkiye'!C157</x:f>
        <x:v>0.2305194805194805</x:v>
      </x:c>
      <x:c r="E213" s="51" t="n">
        <x:f>'Turkiye'!D157</x:f>
        <x:v>0.8426573426573427</x:v>
      </x:c>
      <x:c r="F213" s="49" t="n">
        <x:f>'Turkiye'!E157</x:f>
        <x:v>0.8411764705882353</x:v>
      </x:c>
      <x:c r="G213" s="49" t="n">
        <x:f>'Turkiye'!F157</x:f>
        <x:v>0.5107458912768648</x:v>
      </x:c>
      <x:c r="H213" s="49" t="n">
        <x:f>'Turkiye'!G157</x:f>
        <x:v>0.5128205128205128</x:v>
      </x:c>
      <x:c r="I213" s="49" t="n">
        <x:f>'Turkiye'!H157</x:f>
        <x:v>0.4972375690607735</x:v>
      </x:c>
      <x:c r="J213" s="49" t="n">
        <x:f>'Turkiye'!I157</x:f>
        <x:v>0.7091836734693877</x:v>
      </x:c>
      <x:c r="K213" s="49" t="n">
        <x:f>'Turkiye'!J157</x:f>
        <x:v>0.4318181818181818</x:v>
      </x:c>
      <x:c r="L213" s="49" t="n">
        <x:f>AVERAGE(D213:K213)</x:f>
        <x:v>0.5720198902763474</x:v>
      </x:c>
    </x:row>
    <x:row r="214" ht="24" customHeight="1">
      <x:c r="A214" s="33"/>
      <x:c r="B214" s="44" t="str">
        <x:v>Türkiye</x:v>
      </x:c>
      <x:c r="C214" s="44" t="str">
        <x:v>tev1:4b</x:v>
      </x:c>
      <x:c r="D214" s="49" t="n">
        <x:f>'Turkiye'!C158</x:f>
        <x:v>0.5279299014238773</x:v>
      </x:c>
      <x:c r="E214" s="49" t="n">
        <x:f>'Turkiye'!D158</x:f>
        <x:v>0.8113948919449901</x:v>
      </x:c>
      <x:c r="F214" s="49" t="n">
        <x:f>'Turkiye'!E158</x:f>
        <x:v>0.8511627906976744</x:v>
      </x:c>
      <x:c r="G214" s="49" t="n">
        <x:f>'Turkiye'!F158</x:f>
        <x:v>0.7508710801393729</x:v>
      </x:c>
      <x:c r="H214" s="49" t="n">
        <x:f>'Turkiye'!G158</x:f>
        <x:v>0.6252129471890971</x:v>
      </x:c>
      <x:c r="I214" s="51" t="n">
        <x:f>'Turkiye'!H158</x:f>
        <x:v>0.6829268292682927</x:v>
      </x:c>
      <x:c r="J214" s="49" t="n">
        <x:f>'Turkiye'!I158</x:f>
        <x:v>0.6151260504201681</x:v>
      </x:c>
      <x:c r="K214" s="49" t="n">
        <x:f>'Turkiye'!J158</x:f>
        <x:v>0.5826771653543307</x:v>
      </x:c>
      <x:c r="L214" s="49" t="n">
        <x:f>AVERAGE(D214:K214)</x:f>
        <x:v>0.6809127070547255</x:v>
      </x:c>
    </x:row>
    <x:row r="215" ht="24" customHeight="1">
      <x:c r="A215" s="33"/>
      <x:c r="B215" s="47" t="str">
        <x:v>Türkiye</x:v>
      </x:c>
      <x:c r="C215" s="47" t="str">
        <x:v>typesafe/jev-1.13</x:v>
      </x:c>
      <x:c r="D215" s="50" t="n">
        <x:f>'Turkiye'!C159</x:f>
        <x:v>0.8</x:v>
      </x:c>
      <x:c r="E215" s="52" t="n">
        <x:f>'Turkiye'!D159</x:f>
        <x:v>0.8204697986577181</x:v>
      </x:c>
      <x:c r="F215" s="50" t="n">
        <x:f>'Turkiye'!E159</x:f>
        <x:v>0.9287410926365796</x:v>
      </x:c>
      <x:c r="G215" s="50" t="n">
        <x:f>'Turkiye'!F159</x:f>
        <x:v>0.8594890510948905</x:v>
      </x:c>
      <x:c r="H215" s="50" t="n">
        <x:f>'Turkiye'!G159</x:f>
        <x:v>0.6698412698412698</x:v>
      </x:c>
      <x:c r="I215" s="52" t="n">
        <x:f>'Turkiye'!H159</x:f>
        <x:v>0.6524163568773235</x:v>
      </x:c>
      <x:c r="J215" s="50" t="n">
        <x:f>'Turkiye'!I159</x:f>
        <x:v>0.7489451476793249</x:v>
      </x:c>
      <x:c r="K215" s="50" t="n">
        <x:f>'Turkiye'!J159</x:f>
        <x:v>0.6235679214402619</x:v>
      </x:c>
      <x:c r="L215" s="50" t="n">
        <x:f>AVERAGE(D215:K215)</x:f>
        <x:v>0.762933829778421</x:v>
      </x:c>
    </x:row>
    <x:row r="216" ht="24" customHeight="1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</x:row>
    <x:row r="217" ht="24" customHeight="1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</x:row>
    <x:row r="218" ht="29" customHeight="1">
      <x:c r="A218" s="33"/>
      <x:c r="B218" s="36" t="str">
        <x:v>TABLE 16.</x:v>
      </x:c>
      <x:c r="C218" s="37" t="str">
        <x:v>Türkiye emotion classification recall.</x:v>
      </x:c>
      <x:c r="D218" s="37"/>
      <x:c r="E218" s="37"/>
      <x:c r="F218" s="37"/>
      <x:c r="G218" s="37"/>
      <x:c r="H218" s="37"/>
      <x:c r="I218" s="37"/>
      <x:c r="J218" s="37"/>
      <x:c r="K218" s="37"/>
      <x:c r="L218" s="37"/>
    </x:row>
    <x:row r="219" ht="21" customHeight="1">
      <x:c r="A219" s="33"/>
      <x:c r="B219" s="38" t="str">
        <x:v>Türkiye: emotion_tr, n = 4,403</x:v>
      </x:c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</x:row>
    <x:row r="220" ht="9" customHeight="1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</x:row>
    <x:row r="221" ht="42" customHeight="1">
      <x:c r="A221" s="33"/>
      <x:c r="B221" s="43" t="str">
        <x:v>Country</x:v>
      </x:c>
      <x:c r="C221" s="43" t="str">
        <x:v>Model</x:v>
      </x:c>
      <x:c r="D221" s="42" t="str">
        <x:v>iğrenme</x:v>
      </x:c>
      <x:c r="E221" s="42" t="str">
        <x:v>korku</x:v>
      </x:c>
      <x:c r="F221" s="42" t="str">
        <x:v>minnet</x:v>
      </x:c>
      <x:c r="G221" s="42" t="str">
        <x:v>pişmanlık</x:v>
      </x:c>
      <x:c r="H221" s="42" t="str">
        <x:v>mutluluk</x:v>
      </x:c>
      <x:c r="I221" s="42" t="str">
        <x:v>öfke</x:v>
      </x:c>
      <x:c r="J221" s="42" t="str">
        <x:v>şaşkınlık</x:v>
      </x:c>
      <x:c r="K221" s="42" t="str">
        <x:v>üzüntü</x:v>
      </x:c>
      <x:c r="L221" s="42" t="str">
        <x:v>Macro-
Recall</x:v>
      </x:c>
    </x:row>
    <x:row r="222" ht="24" customHeight="1">
      <x:c r="A222" s="33"/>
      <x:c r="B222" s="44" t="str">
        <x:v>Türkiye</x:v>
      </x:c>
      <x:c r="C222" s="44" t="str">
        <x:v>nimble:9b</x:v>
      </x:c>
      <x:c r="D222" s="49" t="n">
        <x:f>'Turkiye'!C166</x:f>
        <x:v>0.8620689655172413</x:v>
      </x:c>
      <x:c r="E222" s="49" t="n">
        <x:f>'Turkiye'!D166</x:f>
        <x:v>0.8257713248638838</x:v>
      </x:c>
      <x:c r="F222" s="49" t="n">
        <x:f>'Turkiye'!E166</x:f>
        <x:v>0.6981818181818182</x:v>
      </x:c>
      <x:c r="G222" s="49" t="n">
        <x:f>'Turkiye'!F166</x:f>
        <x:v>0.8472727272727273</x:v>
      </x:c>
      <x:c r="H222" s="49" t="n">
        <x:f>'Turkiye'!G166</x:f>
        <x:v>0.7054545454545454</x:v>
      </x:c>
      <x:c r="I222" s="49" t="n">
        <x:f>'Turkiye'!H166</x:f>
        <x:v>0.5535390199637024</x:v>
      </x:c>
      <x:c r="J222" s="49" t="n">
        <x:f>'Turkiye'!I166</x:f>
        <x:v>0.64</x:v>
      </x:c>
      <x:c r="K222" s="49" t="n">
        <x:f>'Turkiye'!J166</x:f>
        <x:v>0.5781818181818181</x:v>
      </x:c>
      <x:c r="L222" s="49" t="n">
        <x:f>AVERAGE(D222:K222)</x:f>
        <x:v>0.713808777429467</x:v>
      </x:c>
    </x:row>
    <x:row r="223" ht="24" customHeight="1">
      <x:c r="A223" s="33"/>
      <x:c r="B223" s="44" t="str">
        <x:v>Türkiye</x:v>
      </x:c>
      <x:c r="C223" s="44" t="str">
        <x:v>tev1:0.8b</x:v>
      </x:c>
      <x:c r="D223" s="49" t="n">
        <x:f>'Turkiye'!C167</x:f>
        <x:v>0.7731397459165155</x:v>
      </x:c>
      <x:c r="E223" s="49" t="n">
        <x:f>'Turkiye'!D167</x:f>
        <x:v>0.43738656987295826</x:v>
      </x:c>
      <x:c r="F223" s="49" t="n">
        <x:f>'Turkiye'!E167</x:f>
        <x:v>0.52</x:v>
      </x:c>
      <x:c r="G223" s="49" t="n">
        <x:f>'Turkiye'!F167</x:f>
        <x:v>0.7345454545454545</x:v>
      </x:c>
      <x:c r="H223" s="49" t="n">
        <x:f>'Turkiye'!G167</x:f>
        <x:v>0.5454545454545454</x:v>
      </x:c>
      <x:c r="I223" s="49" t="n">
        <x:f>'Turkiye'!H167</x:f>
        <x:v>0.16333938294010888</x:v>
      </x:c>
      <x:c r="J223" s="49" t="n">
        <x:f>'Turkiye'!I167</x:f>
        <x:v>0.25272727272727274</x:v>
      </x:c>
      <x:c r="K223" s="49" t="n">
        <x:f>'Turkiye'!J167</x:f>
        <x:v>0.13818181818181818</x:v>
      </x:c>
      <x:c r="L223" s="49" t="n">
        <x:f>AVERAGE(D223:K223)</x:f>
        <x:v>0.44559684870483424</x:v>
      </x:c>
    </x:row>
    <x:row r="224" ht="24" customHeight="1">
      <x:c r="A224" s="33"/>
      <x:c r="B224" s="44" t="str">
        <x:v>Türkiye</x:v>
      </x:c>
      <x:c r="C224" s="44" t="str">
        <x:v>tev1:4b</x:v>
      </x:c>
      <x:c r="D224" s="51" t="n">
        <x:f>'Turkiye'!C168</x:f>
        <x:v>0.8747731397459165</x:v>
      </x:c>
      <x:c r="E224" s="49" t="n">
        <x:f>'Turkiye'!D168</x:f>
        <x:v>0.7495462794918331</x:v>
      </x:c>
      <x:c r="F224" s="49" t="n">
        <x:f>'Turkiye'!E168</x:f>
        <x:v>0.6654545454545454</x:v>
      </x:c>
      <x:c r="G224" s="49" t="n">
        <x:f>'Turkiye'!F168</x:f>
        <x:v>0.7836363636363637</x:v>
      </x:c>
      <x:c r="H224" s="49" t="n">
        <x:f>'Turkiye'!G168</x:f>
        <x:v>0.6672727272727272</x:v>
      </x:c>
      <x:c r="I224" s="49" t="n">
        <x:f>'Turkiye'!H168</x:f>
        <x:v>0.35571687840290384</x:v>
      </x:c>
      <x:c r="J224" s="51" t="n">
        <x:f>'Turkiye'!I168</x:f>
        <x:v>0.6654545454545454</x:v>
      </x:c>
      <x:c r="K224" s="49" t="n">
        <x:f>'Turkiye'!J168</x:f>
        <x:v>0.5381818181818182</x:v>
      </x:c>
      <x:c r="L224" s="49" t="n">
        <x:f>AVERAGE(D224:K224)</x:f>
        <x:v>0.6625045372050816</x:v>
      </x:c>
    </x:row>
    <x:row r="225" ht="24" customHeight="1">
      <x:c r="A225" s="33"/>
      <x:c r="B225" s="47" t="str">
        <x:v>Türkiye</x:v>
      </x:c>
      <x:c r="C225" s="47" t="str">
        <x:v>typesafe/jev-1.13</x:v>
      </x:c>
      <x:c r="D225" s="52" t="n">
        <x:f>'Turkiye'!C169</x:f>
        <x:v>0.8493647912885662</x:v>
      </x:c>
      <x:c r="E225" s="50" t="n">
        <x:f>'Turkiye'!D169</x:f>
        <x:v>0.8874773139745916</x:v>
      </x:c>
      <x:c r="F225" s="50" t="n">
        <x:f>'Turkiye'!E169</x:f>
        <x:v>0.7109090909090909</x:v>
      </x:c>
      <x:c r="G225" s="50" t="n">
        <x:f>'Turkiye'!F169</x:f>
        <x:v>0.8563636363636363</x:v>
      </x:c>
      <x:c r="H225" s="50" t="n">
        <x:f>'Turkiye'!G169</x:f>
        <x:v>0.7672727272727272</x:v>
      </x:c>
      <x:c r="I225" s="50" t="n">
        <x:f>'Turkiye'!H169</x:f>
        <x:v>0.6370235934664247</x:v>
      </x:c>
      <x:c r="J225" s="52" t="n">
        <x:f>'Turkiye'!I169</x:f>
        <x:v>0.6454545454545455</x:v>
      </x:c>
      <x:c r="K225" s="50" t="n">
        <x:f>'Turkiye'!J169</x:f>
        <x:v>0.6927272727272727</x:v>
      </x:c>
      <x:c r="L225" s="50" t="n">
        <x:f>AVERAGE(D225:K225)</x:f>
        <x:v>0.7558241214321069</x:v>
      </x:c>
    </x:row>
    <x:row r="226" ht="24" customHeight="1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</x:row>
    <x:row r="227" ht="24" customHeight="1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</x:row>
    <x:row r="228" ht="29" customHeight="1">
      <x:c r="A228" s="33"/>
      <x:c r="B228" s="36" t="str">
        <x:v>TABLE 17.</x:v>
      </x:c>
      <x:c r="C228" s="37" t="str">
        <x:v>Türkiye emotion classification F1.</x:v>
      </x:c>
      <x:c r="D228" s="37"/>
      <x:c r="E228" s="37"/>
      <x:c r="F228" s="37"/>
      <x:c r="G228" s="37"/>
      <x:c r="H228" s="37"/>
      <x:c r="I228" s="37"/>
      <x:c r="J228" s="37"/>
      <x:c r="K228" s="37"/>
      <x:c r="L228" s="37"/>
    </x:row>
    <x:row r="229" ht="21" customHeight="1">
      <x:c r="A229" s="33"/>
      <x:c r="B229" s="38" t="str">
        <x:v>Türkiye: emotion_tr, n = 4,403</x:v>
      </x:c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</x:row>
    <x:row r="230" ht="9" customHeight="1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</x:row>
    <x:row r="231" ht="42" customHeight="1">
      <x:c r="A231" s="33"/>
      <x:c r="B231" s="43" t="str">
        <x:v>Country</x:v>
      </x:c>
      <x:c r="C231" s="43" t="str">
        <x:v>Model</x:v>
      </x:c>
      <x:c r="D231" s="42" t="str">
        <x:v>iğrenme</x:v>
      </x:c>
      <x:c r="E231" s="42" t="str">
        <x:v>korku</x:v>
      </x:c>
      <x:c r="F231" s="42" t="str">
        <x:v>minnet</x:v>
      </x:c>
      <x:c r="G231" s="42" t="str">
        <x:v>pişmanlık</x:v>
      </x:c>
      <x:c r="H231" s="42" t="str">
        <x:v>mutluluk</x:v>
      </x:c>
      <x:c r="I231" s="42" t="str">
        <x:v>öfke</x:v>
      </x:c>
      <x:c r="J231" s="42" t="str">
        <x:v>şaşkınlık</x:v>
      </x:c>
      <x:c r="K231" s="42" t="str">
        <x:v>üzüntü</x:v>
      </x:c>
      <x:c r="L231" s="42" t="str">
        <x:v>Macro-F1</x:v>
      </x:c>
    </x:row>
    <x:row r="232" ht="24" customHeight="1">
      <x:c r="A232" s="33"/>
      <x:c r="B232" s="44" t="str">
        <x:v>Türkiye</x:v>
      </x:c>
      <x:c r="C232" s="44" t="str">
        <x:v>nimble:9b</x:v>
      </x:c>
      <x:c r="D232" s="49" t="n">
        <x:f>'Turkiye'!C176</x:f>
        <x:v>0.76</x:v>
      </x:c>
      <x:c r="E232" s="49" t="n">
        <x:f>'Turkiye'!D176</x:f>
        <x:v>0.8154121863799283</x:v>
      </x:c>
      <x:c r="F232" s="49" t="n">
        <x:f>'Turkiye'!E176</x:f>
        <x:v>0.7703109327983951</x:v>
      </x:c>
      <x:c r="G232" s="49" t="n">
        <x:f>'Turkiye'!F176</x:f>
        <x:v>0.8168273444347064</x:v>
      </x:c>
      <x:c r="H232" s="49" t="n">
        <x:f>'Turkiye'!G176</x:f>
        <x:v>0.6678141135972461</x:v>
      </x:c>
      <x:c r="I232" s="49" t="n">
        <x:f>'Turkiye'!H176</x:f>
        <x:v>0.6003937007874016</x:v>
      </x:c>
      <x:c r="J232" s="49" t="n">
        <x:f>'Turkiye'!I176</x:f>
        <x:v>0.6616541353383458</x:v>
      </x:c>
      <x:c r="K232" s="49" t="n">
        <x:f>'Turkiye'!J176</x:f>
        <x:v>0.6</x:v>
      </x:c>
      <x:c r="L232" s="49" t="n">
        <x:f>AVERAGE(D232:K232)</x:f>
        <x:v>0.711551551667003</x:v>
      </x:c>
    </x:row>
    <x:row r="233" ht="24" customHeight="1">
      <x:c r="A233" s="33"/>
      <x:c r="B233" s="44" t="str">
        <x:v>Türkiye</x:v>
      </x:c>
      <x:c r="C233" s="44" t="str">
        <x:v>tev1:0.8b</x:v>
      </x:c>
      <x:c r="D233" s="49" t="n">
        <x:f>'Turkiye'!C177</x:f>
        <x:v>0.3551479783243018</x:v>
      </x:c>
      <x:c r="E233" s="49" t="n">
        <x:f>'Turkiye'!D177</x:f>
        <x:v>0.5758661887694145</x:v>
      </x:c>
      <x:c r="F233" s="49" t="n">
        <x:f>'Turkiye'!E177</x:f>
        <x:v>0.6426966292134831</x:v>
      </x:c>
      <x:c r="G233" s="49" t="n">
        <x:f>'Turkiye'!F177</x:f>
        <x:v>0.6025354213273676</x:v>
      </x:c>
      <x:c r="H233" s="49" t="n">
        <x:f>'Turkiye'!G177</x:f>
        <x:v>0.5286343612334802</x:v>
      </x:c>
      <x:c r="I233" s="49" t="n">
        <x:f>'Turkiye'!H177</x:f>
        <x:v>0.2459016393442623</x:v>
      </x:c>
      <x:c r="J233" s="49" t="n">
        <x:f>'Turkiye'!I177</x:f>
        <x:v>0.3726541554959786</x:v>
      </x:c>
      <x:c r="K233" s="49" t="n">
        <x:f>'Turkiye'!J177</x:f>
        <x:v>0.209366391184573</x:v>
      </x:c>
      <x:c r="L233" s="49" t="n">
        <x:f>AVERAGE(D233:K233)</x:f>
        <x:v>0.44160034561160766</x:v>
      </x:c>
    </x:row>
    <x:row r="234" ht="24" customHeight="1">
      <x:c r="A234" s="33"/>
      <x:c r="B234" s="44" t="str">
        <x:v>Türkiye</x:v>
      </x:c>
      <x:c r="C234" s="44" t="str">
        <x:v>tev1:4b</x:v>
      </x:c>
      <x:c r="D234" s="49" t="n">
        <x:f>'Turkiye'!C178</x:f>
        <x:v>0.6584699453551912</x:v>
      </x:c>
      <x:c r="E234" s="49" t="n">
        <x:f>'Turkiye'!D178</x:f>
        <x:v>0.779245283018868</x:v>
      </x:c>
      <x:c r="F234" s="49" t="n">
        <x:f>'Turkiye'!E178</x:f>
        <x:v>0.746938775510204</x:v>
      </x:c>
      <x:c r="G234" s="49" t="n">
        <x:f>'Turkiye'!F178</x:f>
        <x:v>0.7669039145907474</x:v>
      </x:c>
      <x:c r="H234" s="49" t="n">
        <x:f>'Turkiye'!G178</x:f>
        <x:v>0.6455584872471416</x:v>
      </x:c>
      <x:c r="I234" s="49" t="n">
        <x:f>'Turkiye'!H178</x:f>
        <x:v>0.4677804295942721</x:v>
      </x:c>
      <x:c r="J234" s="49" t="n">
        <x:f>'Turkiye'!I178</x:f>
        <x:v>0.6393013100436681</x:v>
      </x:c>
      <x:c r="K234" s="49" t="n">
        <x:f>'Turkiye'!J178</x:f>
        <x:v>0.5595463137996219</x:v>
      </x:c>
      <x:c r="L234" s="49" t="n">
        <x:f>AVERAGE(D234:K234)</x:f>
        <x:v>0.6579680573949642</x:v>
      </x:c>
    </x:row>
    <x:row r="235" ht="24" customHeight="1">
      <x:c r="A235" s="33"/>
      <x:c r="B235" s="47" t="str">
        <x:v>Türkiye</x:v>
      </x:c>
      <x:c r="C235" s="47" t="str">
        <x:v>typesafe/jev-1.13</x:v>
      </x:c>
      <x:c r="D235" s="50" t="n">
        <x:f>'Turkiye'!C179</x:f>
        <x:v>0.823943661971831</x:v>
      </x:c>
      <x:c r="E235" s="50" t="n">
        <x:f>'Turkiye'!D179</x:f>
        <x:v>0.8526591107236269</x:v>
      </x:c>
      <x:c r="F235" s="50" t="n">
        <x:f>'Turkiye'!E179</x:f>
        <x:v>0.8053553038105047</x:v>
      </x:c>
      <x:c r="G235" s="50" t="n">
        <x:f>'Turkiye'!F179</x:f>
        <x:v>0.8579234972677595</x:v>
      </x:c>
      <x:c r="H235" s="50" t="n">
        <x:f>'Turkiye'!G179</x:f>
        <x:v>0.7152542372881356</x:v>
      </x:c>
      <x:c r="I235" s="50" t="n">
        <x:f>'Turkiye'!H179</x:f>
        <x:v>0.6446280991735537</x:v>
      </x:c>
      <x:c r="J235" s="50" t="n">
        <x:f>'Turkiye'!I179</x:f>
        <x:v>0.693359375</x:v>
      </x:c>
      <x:c r="K235" s="50" t="n">
        <x:f>'Turkiye'!J179</x:f>
        <x:v>0.6563307493540051</x:v>
      </x:c>
      <x:c r="L235" s="50" t="n">
        <x:f>AVERAGE(D235:K235)</x:f>
        <x:v>0.7561817543236771</x:v>
      </x:c>
    </x:row>
    <x:row r="236" ht="24" customHeight="1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</x:row>
    <x:row r="237" ht="24" customHeight="1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</x:row>
    <x:row r="238" ht="29" customHeight="1">
      <x:c r="A238" s="33"/>
      <x:c r="B238" s="36" t="str">
        <x:v>TABLE 18.</x:v>
      </x:c>
      <x:c r="C238" s="37" t="str">
        <x:v>Türkiye emotion classification support.</x:v>
      </x:c>
      <x:c r="D238" s="37"/>
      <x:c r="E238" s="37"/>
      <x:c r="F238" s="37"/>
      <x:c r="G238" s="37"/>
      <x:c r="H238" s="37"/>
      <x:c r="I238" s="37"/>
      <x:c r="J238" s="37"/>
      <x:c r="K238" s="37"/>
      <x:c r="L238" s="37"/>
    </x:row>
    <x:row r="239" ht="21" customHeight="1">
      <x:c r="A239" s="33"/>
      <x:c r="B239" s="38" t="str">
        <x:v>Türkiye: emotion_tr, n = 4,403</x:v>
      </x:c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</x:row>
    <x:row r="240" ht="9" customHeight="1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</x:row>
    <x:row r="241" ht="42" customHeight="1">
      <x:c r="A241" s="33"/>
      <x:c r="B241" s="43" t="str">
        <x:v>Country</x:v>
      </x:c>
      <x:c r="C241" s="43" t="str">
        <x:v>Model</x:v>
      </x:c>
      <x:c r="D241" s="42" t="str">
        <x:v>iğrenme</x:v>
      </x:c>
      <x:c r="E241" s="42" t="str">
        <x:v>korku</x:v>
      </x:c>
      <x:c r="F241" s="42" t="str">
        <x:v>minnet</x:v>
      </x:c>
      <x:c r="G241" s="42" t="str">
        <x:v>pişmanlık</x:v>
      </x:c>
      <x:c r="H241" s="42" t="str">
        <x:v>mutluluk</x:v>
      </x:c>
      <x:c r="I241" s="42" t="str">
        <x:v>öfke</x:v>
      </x:c>
      <x:c r="J241" s="42" t="str">
        <x:v>şaşkınlık</x:v>
      </x:c>
      <x:c r="K241" s="42" t="str">
        <x:v>üzüntü</x:v>
      </x:c>
      <x:c r="L241" s="42" t="str">
        <x:v>Total</x:v>
      </x:c>
    </x:row>
    <x:row r="242" ht="24" customHeight="1">
      <x:c r="A242" s="33"/>
      <x:c r="B242" s="44" t="str">
        <x:v>Türkiye</x:v>
      </x:c>
      <x:c r="C242" s="44" t="str">
        <x:v>nimble:9b</x:v>
      </x:c>
      <x:c r="D242" s="53" t="n">
        <x:f>'Turkiye'!C186</x:f>
        <x:v>551</x:v>
      </x:c>
      <x:c r="E242" s="53" t="n">
        <x:f>'Turkiye'!D186</x:f>
        <x:v>551</x:v>
      </x:c>
      <x:c r="F242" s="53" t="n">
        <x:f>'Turkiye'!E186</x:f>
        <x:v>550</x:v>
      </x:c>
      <x:c r="G242" s="53" t="n">
        <x:f>'Turkiye'!F186</x:f>
        <x:v>550</x:v>
      </x:c>
      <x:c r="H242" s="53" t="n">
        <x:f>'Turkiye'!G186</x:f>
        <x:v>550</x:v>
      </x:c>
      <x:c r="I242" s="53" t="n">
        <x:f>'Turkiye'!H186</x:f>
        <x:v>551</x:v>
      </x:c>
      <x:c r="J242" s="53" t="n">
        <x:f>'Turkiye'!I186</x:f>
        <x:v>550</x:v>
      </x:c>
      <x:c r="K242" s="53" t="n">
        <x:f>'Turkiye'!J186</x:f>
        <x:v>550</x:v>
      </x:c>
      <x:c r="L242" s="53" t="n">
        <x:f>SUM(D242:K242)</x:f>
        <x:v>4403</x:v>
      </x:c>
    </x:row>
    <x:row r="243" ht="24" customHeight="1">
      <x:c r="A243" s="33"/>
      <x:c r="B243" s="44" t="str">
        <x:v>Türkiye</x:v>
      </x:c>
      <x:c r="C243" s="44" t="str">
        <x:v>tev1:0.8b</x:v>
      </x:c>
      <x:c r="D243" s="53" t="n">
        <x:f>'Turkiye'!C187</x:f>
        <x:v>551</x:v>
      </x:c>
      <x:c r="E243" s="53" t="n">
        <x:f>'Turkiye'!D187</x:f>
        <x:v>551</x:v>
      </x:c>
      <x:c r="F243" s="53" t="n">
        <x:f>'Turkiye'!E187</x:f>
        <x:v>550</x:v>
      </x:c>
      <x:c r="G243" s="53" t="n">
        <x:f>'Turkiye'!F187</x:f>
        <x:v>550</x:v>
      </x:c>
      <x:c r="H243" s="53" t="n">
        <x:f>'Turkiye'!G187</x:f>
        <x:v>550</x:v>
      </x:c>
      <x:c r="I243" s="53" t="n">
        <x:f>'Turkiye'!H187</x:f>
        <x:v>551</x:v>
      </x:c>
      <x:c r="J243" s="53" t="n">
        <x:f>'Turkiye'!I187</x:f>
        <x:v>550</x:v>
      </x:c>
      <x:c r="K243" s="53" t="n">
        <x:f>'Turkiye'!J187</x:f>
        <x:v>550</x:v>
      </x:c>
      <x:c r="L243" s="53" t="n">
        <x:f>SUM(D243:K243)</x:f>
        <x:v>4403</x:v>
      </x:c>
    </x:row>
    <x:row r="244" ht="24" customHeight="1">
      <x:c r="A244" s="33"/>
      <x:c r="B244" s="44" t="str">
        <x:v>Türkiye</x:v>
      </x:c>
      <x:c r="C244" s="44" t="str">
        <x:v>tev1:4b</x:v>
      </x:c>
      <x:c r="D244" s="53" t="n">
        <x:f>'Turkiye'!C188</x:f>
        <x:v>551</x:v>
      </x:c>
      <x:c r="E244" s="53" t="n">
        <x:f>'Turkiye'!D188</x:f>
        <x:v>551</x:v>
      </x:c>
      <x:c r="F244" s="53" t="n">
        <x:f>'Turkiye'!E188</x:f>
        <x:v>550</x:v>
      </x:c>
      <x:c r="G244" s="53" t="n">
        <x:f>'Turkiye'!F188</x:f>
        <x:v>550</x:v>
      </x:c>
      <x:c r="H244" s="53" t="n">
        <x:f>'Turkiye'!G188</x:f>
        <x:v>550</x:v>
      </x:c>
      <x:c r="I244" s="53" t="n">
        <x:f>'Turkiye'!H188</x:f>
        <x:v>551</x:v>
      </x:c>
      <x:c r="J244" s="53" t="n">
        <x:f>'Turkiye'!I188</x:f>
        <x:v>550</x:v>
      </x:c>
      <x:c r="K244" s="53" t="n">
        <x:f>'Turkiye'!J188</x:f>
        <x:v>550</x:v>
      </x:c>
      <x:c r="L244" s="53" t="n">
        <x:f>SUM(D244:K244)</x:f>
        <x:v>4403</x:v>
      </x:c>
    </x:row>
    <x:row r="245" ht="24" customHeight="1">
      <x:c r="A245" s="33"/>
      <x:c r="B245" s="47" t="str">
        <x:v>Türkiye</x:v>
      </x:c>
      <x:c r="C245" s="47" t="str">
        <x:v>typesafe/jev-1.13</x:v>
      </x:c>
      <x:c r="D245" s="54" t="n">
        <x:f>'Turkiye'!C189</x:f>
        <x:v>551</x:v>
      </x:c>
      <x:c r="E245" s="54" t="n">
        <x:f>'Turkiye'!D189</x:f>
        <x:v>551</x:v>
      </x:c>
      <x:c r="F245" s="54" t="n">
        <x:f>'Turkiye'!E189</x:f>
        <x:v>550</x:v>
      </x:c>
      <x:c r="G245" s="54" t="n">
        <x:f>'Turkiye'!F189</x:f>
        <x:v>550</x:v>
      </x:c>
      <x:c r="H245" s="54" t="n">
        <x:f>'Turkiye'!G189</x:f>
        <x:v>550</x:v>
      </x:c>
      <x:c r="I245" s="54" t="n">
        <x:f>'Turkiye'!H189</x:f>
        <x:v>551</x:v>
      </x:c>
      <x:c r="J245" s="54" t="n">
        <x:f>'Turkiye'!I189</x:f>
        <x:v>550</x:v>
      </x:c>
      <x:c r="K245" s="54" t="n">
        <x:f>'Turkiye'!J189</x:f>
        <x:v>550</x:v>
      </x:c>
      <x:c r="L245" s="54" t="n">
        <x:f>SUM(D245:K245)</x:f>
        <x:v>4403</x:v>
      </x:c>
    </x:row>
    <x:row r="246" ht="24" customHeight="1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</x:row>
    <x:row r="247" ht="24" customHeight="1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</x:row>
    <x:row r="248" ht="29" customHeight="1">
      <x:c r="A248" s="33"/>
      <x:c r="B248" s="36" t="str">
        <x:v>TABLE 19.</x:v>
      </x:c>
      <x:c r="C248" s="37" t="str">
        <x:v>Indonesian emotion classification precision.</x:v>
      </x:c>
      <x:c r="D248" s="37"/>
      <x:c r="E248" s="37"/>
      <x:c r="F248" s="37"/>
      <x:c r="G248" s="37"/>
      <x:c r="H248" s="37"/>
      <x:c r="I248" s="37"/>
      <x:c r="J248" s="33"/>
      <x:c r="K248" s="33"/>
      <x:c r="L248" s="33"/>
    </x:row>
    <x:row r="249" ht="21" customHeight="1">
      <x:c r="A249" s="33"/>
      <x:c r="B249" s="38" t="str">
        <x:v>Indonesian: emotion, n = 4,403</x:v>
      </x:c>
      <x:c r="C249" s="38"/>
      <x:c r="D249" s="38"/>
      <x:c r="E249" s="38"/>
      <x:c r="F249" s="38"/>
      <x:c r="G249" s="38"/>
      <x:c r="H249" s="38"/>
      <x:c r="I249" s="38"/>
      <x:c r="J249" s="33"/>
      <x:c r="K249" s="33"/>
      <x:c r="L249" s="33"/>
    </x:row>
    <x:row r="250" ht="9" customHeight="1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</x:row>
    <x:row r="251" ht="42" customHeight="1">
      <x:c r="A251" s="33"/>
      <x:c r="B251" s="43" t="str">
        <x:v>Country</x:v>
      </x:c>
      <x:c r="C251" s="43" t="str">
        <x:v>Model</x:v>
      </x:c>
      <x:c r="D251" s="42" t="str">
        <x:v>anger</x:v>
      </x:c>
      <x:c r="E251" s="42" t="str">
        <x:v>fear</x:v>
      </x:c>
      <x:c r="F251" s="42" t="str">
        <x:v>happy</x:v>
      </x:c>
      <x:c r="G251" s="42" t="str">
        <x:v>love</x:v>
      </x:c>
      <x:c r="H251" s="42" t="str">
        <x:v>sadness</x:v>
      </x:c>
      <x:c r="I251" s="42" t="str">
        <x:v>Macro-
Precision</x:v>
      </x:c>
      <x:c r="J251" s="33"/>
      <x:c r="K251" s="33"/>
      <x:c r="L251" s="33"/>
    </x:row>
    <x:row r="252" ht="24" customHeight="1">
      <x:c r="A252" s="33"/>
      <x:c r="B252" s="44" t="str">
        <x:v>Indonesian</x:v>
      </x:c>
      <x:c r="C252" s="44" t="str">
        <x:v>nimble:9b</x:v>
      </x:c>
      <x:c r="D252" s="49" t="n">
        <x:f>'Indonesian'!C156</x:f>
        <x:v>0.6794961511546536</x:v>
      </x:c>
      <x:c r="E252" s="49" t="n">
        <x:f>'Indonesian'!D156</x:f>
        <x:v>0.8226351351351351</x:v>
      </x:c>
      <x:c r="F252" s="49" t="n">
        <x:f>'Indonesian'!E156</x:f>
        <x:v>0.781496062992126</x:v>
      </x:c>
      <x:c r="G252" s="49" t="n">
        <x:f>'Indonesian'!F156</x:f>
        <x:v>0.664367816091954</x:v>
      </x:c>
      <x:c r="H252" s="51" t="n">
        <x:f>'Indonesian'!G156</x:f>
        <x:v>0.8225806451612904</x:v>
      </x:c>
      <x:c r="I252" s="49" t="n">
        <x:f>AVERAGE(D252:H252)</x:f>
        <x:v>0.7541151621070318</x:v>
      </x:c>
      <x:c r="J252" s="33"/>
      <x:c r="K252" s="33"/>
      <x:c r="L252" s="33"/>
    </x:row>
    <x:row r="253" ht="24" customHeight="1">
      <x:c r="A253" s="33"/>
      <x:c r="B253" s="44" t="str">
        <x:v>Indonesian</x:v>
      </x:c>
      <x:c r="C253" s="44" t="str">
        <x:v>tev1:0.8b</x:v>
      </x:c>
      <x:c r="D253" s="49" t="n">
        <x:f>'Indonesian'!C157</x:f>
        <x:v>0.4900864260294865</x:v>
      </x:c>
      <x:c r="E253" s="49" t="n">
        <x:f>'Indonesian'!D157</x:f>
        <x:v>0.8311345646437994</x:v>
      </x:c>
      <x:c r="F253" s="49" t="n">
        <x:f>'Indonesian'!E157</x:f>
        <x:v>0.7150776053215078</x:v>
      </x:c>
      <x:c r="G253" s="49" t="n">
        <x:f>'Indonesian'!F157</x:f>
        <x:v>0.6428571428571429</x:v>
      </x:c>
      <x:c r="H253" s="49" t="n">
        <x:f>'Indonesian'!G157</x:f>
        <x:v>0.6974789915966386</x:v>
      </x:c>
      <x:c r="I253" s="49" t="n">
        <x:f>AVERAGE(D253:H253)</x:f>
        <x:v>0.6753269460897149</x:v>
      </x:c>
      <x:c r="J253" s="33"/>
      <x:c r="K253" s="33"/>
      <x:c r="L253" s="33"/>
    </x:row>
    <x:row r="254" ht="24" customHeight="1">
      <x:c r="A254" s="33"/>
      <x:c r="B254" s="44" t="str">
        <x:v>Indonesian</x:v>
      </x:c>
      <x:c r="C254" s="44" t="str">
        <x:v>tev1:4b</x:v>
      </x:c>
      <x:c r="D254" s="49" t="n">
        <x:f>'Indonesian'!C158</x:f>
        <x:v>0.6494512588766946</x:v>
      </x:c>
      <x:c r="E254" s="51" t="n">
        <x:f>'Indonesian'!D158</x:f>
        <x:v>0.8404452690166976</x:v>
      </x:c>
      <x:c r="F254" s="49" t="n">
        <x:f>'Indonesian'!E158</x:f>
        <x:v>0.8189473684210526</x:v>
      </x:c>
      <x:c r="G254" s="51" t="n">
        <x:f>'Indonesian'!F158</x:f>
        <x:v>0.7303225806451613</x:v>
      </x:c>
      <x:c r="H254" s="49" t="n">
        <x:f>'Indonesian'!G158</x:f>
        <x:v>0.7491525423728813</x:v>
      </x:c>
      <x:c r="I254" s="49" t="n">
        <x:f>AVERAGE(D254:H254)</x:f>
        <x:v>0.7576638038664976</x:v>
      </x:c>
      <x:c r="J254" s="33"/>
      <x:c r="K254" s="33"/>
      <x:c r="L254" s="33"/>
    </x:row>
    <x:row r="255" ht="24" customHeight="1">
      <x:c r="A255" s="33"/>
      <x:c r="B255" s="47" t="str">
        <x:v>Indonesian</x:v>
      </x:c>
      <x:c r="C255" s="47" t="str">
        <x:v>typesafe/jev-1.13</x:v>
      </x:c>
      <x:c r="D255" s="50" t="n">
        <x:f>'Indonesian'!C159</x:f>
        <x:v>0.7494407158836689</x:v>
      </x:c>
      <x:c r="E255" s="52" t="n">
        <x:f>'Indonesian'!D159</x:f>
        <x:v>0.7913561847988078</x:v>
      </x:c>
      <x:c r="F255" s="50" t="n">
        <x:f>'Indonesian'!E159</x:f>
        <x:v>0.8581314878892734</x:v>
      </x:c>
      <x:c r="G255" s="52" t="n">
        <x:f>'Indonesian'!F159</x:f>
        <x:v>0.7017751479289941</x:v>
      </x:c>
      <x:c r="H255" s="52" t="n">
        <x:f>'Indonesian'!G159</x:f>
        <x:v>0.8203240058910162</x:v>
      </x:c>
      <x:c r="I255" s="50" t="n">
        <x:f>AVERAGE(D255:H255)</x:f>
        <x:v>0.7842055084783521</x:v>
      </x:c>
      <x:c r="J255" s="33"/>
      <x:c r="K255" s="33"/>
      <x:c r="L255" s="33"/>
    </x:row>
    <x:row r="256" ht="24" customHeight="1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33"/>
      <x:c r="K256" s="33"/>
      <x:c r="L256" s="33"/>
    </x:row>
    <x:row r="257" ht="24" customHeight="1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33"/>
      <x:c r="K257" s="33"/>
      <x:c r="L257" s="33"/>
    </x:row>
    <x:row r="258" ht="29" customHeight="1">
      <x:c r="A258" s="33"/>
      <x:c r="B258" s="36" t="str">
        <x:v>TABLE 20.</x:v>
      </x:c>
      <x:c r="C258" s="37" t="str">
        <x:v>Indonesian emotion classification recall.</x:v>
      </x:c>
      <x:c r="D258" s="37"/>
      <x:c r="E258" s="37"/>
      <x:c r="F258" s="37"/>
      <x:c r="G258" s="37"/>
      <x:c r="H258" s="37"/>
      <x:c r="I258" s="37"/>
      <x:c r="J258" s="33"/>
      <x:c r="K258" s="33"/>
      <x:c r="L258" s="33"/>
    </x:row>
    <x:row r="259" ht="21" customHeight="1">
      <x:c r="A259" s="33"/>
      <x:c r="B259" s="38" t="str">
        <x:v>Indonesian: emotion, n = 4,403</x:v>
      </x:c>
      <x:c r="C259" s="38"/>
      <x:c r="D259" s="38"/>
      <x:c r="E259" s="38"/>
      <x:c r="F259" s="38"/>
      <x:c r="G259" s="38"/>
      <x:c r="H259" s="38"/>
      <x:c r="I259" s="38"/>
      <x:c r="J259" s="33"/>
      <x:c r="K259" s="33"/>
      <x:c r="L259" s="33"/>
    </x:row>
    <x:row r="260" ht="9" customHeight="1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33"/>
      <x:c r="K260" s="33"/>
      <x:c r="L260" s="33"/>
    </x:row>
    <x:row r="261" ht="42" customHeight="1">
      <x:c r="A261" s="33"/>
      <x:c r="B261" s="43" t="str">
        <x:v>Country</x:v>
      </x:c>
      <x:c r="C261" s="43" t="str">
        <x:v>Model</x:v>
      </x:c>
      <x:c r="D261" s="42" t="str">
        <x:v>anger</x:v>
      </x:c>
      <x:c r="E261" s="42" t="str">
        <x:v>fear</x:v>
      </x:c>
      <x:c r="F261" s="42" t="str">
        <x:v>happy</x:v>
      </x:c>
      <x:c r="G261" s="42" t="str">
        <x:v>love</x:v>
      </x:c>
      <x:c r="H261" s="42" t="str">
        <x:v>sadness</x:v>
      </x:c>
      <x:c r="I261" s="42" t="str">
        <x:v>Macro-
Recall</x:v>
      </x:c>
      <x:c r="J261" s="33"/>
      <x:c r="K261" s="33"/>
      <x:c r="L261" s="33"/>
    </x:row>
    <x:row r="262" ht="24" customHeight="1">
      <x:c r="A262" s="33"/>
      <x:c r="B262" s="44" t="str">
        <x:v>Indonesian</x:v>
      </x:c>
      <x:c r="C262" s="44" t="str">
        <x:v>nimble:9b</x:v>
      </x:c>
      <x:c r="D262" s="49" t="n">
        <x:f>'Indonesian'!C166</x:f>
        <x:v>0.8811252268602541</x:v>
      </x:c>
      <x:c r="E262" s="49" t="n">
        <x:f>'Indonesian'!D166</x:f>
        <x:v>0.7503852080123267</x:v>
      </x:c>
      <x:c r="F262" s="51" t="n">
        <x:f>'Indonesian'!E166</x:f>
        <x:v>0.7807276302851525</x:v>
      </x:c>
      <x:c r="G262" s="49" t="n">
        <x:f>'Indonesian'!F166</x:f>
        <x:v>0.9073783359497644</x:v>
      </x:c>
      <x:c r="H262" s="49" t="n">
        <x:f>'Indonesian'!G166</x:f>
        <x:v>0.4088176352705411</x:v>
      </x:c>
      <x:c r="I262" s="49" t="n">
        <x:f>AVERAGE(D262:H262)</x:f>
        <x:v>0.7456868072756077</x:v>
      </x:c>
      <x:c r="J262" s="33"/>
      <x:c r="K262" s="33"/>
      <x:c r="L262" s="33"/>
    </x:row>
    <x:row r="263" ht="24" customHeight="1">
      <x:c r="A263" s="33"/>
      <x:c r="B263" s="44" t="str">
        <x:v>Indonesian</x:v>
      </x:c>
      <x:c r="C263" s="44" t="str">
        <x:v>tev1:0.8b</x:v>
      </x:c>
      <x:c r="D263" s="49" t="n">
        <x:f>'Indonesian'!C167</x:f>
        <x:v>0.8747731397459165</x:v>
      </x:c>
      <x:c r="E263" s="49" t="n">
        <x:f>'Indonesian'!D167</x:f>
        <x:v>0.485362095531587</x:v>
      </x:c>
      <x:c r="F263" s="49" t="n">
        <x:f>'Indonesian'!E167</x:f>
        <x:v>0.6342182890855457</x:v>
      </x:c>
      <x:c r="G263" s="49" t="n">
        <x:f>'Indonesian'!F167</x:f>
        <x:v>0.8053375196232339</x:v>
      </x:c>
      <x:c r="H263" s="49" t="n">
        <x:f>'Indonesian'!G167</x:f>
        <x:v>0.2494989979959919</x:v>
      </x:c>
      <x:c r="I263" s="49" t="n">
        <x:f>AVERAGE(D263:H263)</x:f>
        <x:v>0.6098380083964551</x:v>
      </x:c>
      <x:c r="J263" s="33"/>
      <x:c r="K263" s="33"/>
      <x:c r="L263" s="33"/>
    </x:row>
    <x:row r="264" ht="24" customHeight="1">
      <x:c r="A264" s="33"/>
      <x:c r="B264" s="44" t="str">
        <x:v>Indonesian</x:v>
      </x:c>
      <x:c r="C264" s="44" t="str">
        <x:v>tev1:4b</x:v>
      </x:c>
      <x:c r="D264" s="51" t="n">
        <x:f>'Indonesian'!C168</x:f>
        <x:v>0.912885662431942</x:v>
      </x:c>
      <x:c r="E264" s="49" t="n">
        <x:f>'Indonesian'!D168</x:f>
        <x:v>0.6979969183359014</x:v>
      </x:c>
      <x:c r="F264" s="49" t="n">
        <x:f>'Indonesian'!E168</x:f>
        <x:v>0.7649950835791544</x:v>
      </x:c>
      <x:c r="G264" s="49" t="n">
        <x:f>'Indonesian'!F168</x:f>
        <x:v>0.8885400313971743</x:v>
      </x:c>
      <x:c r="H264" s="49" t="n">
        <x:f>'Indonesian'!G168</x:f>
        <x:v>0.4428857715430861</x:v>
      </x:c>
      <x:c r="I264" s="49" t="n">
        <x:f>AVERAGE(D264:H264)</x:f>
        <x:v>0.7414606934574517</x:v>
      </x:c>
      <x:c r="J264" s="33"/>
      <x:c r="K264" s="33"/>
      <x:c r="L264" s="33"/>
    </x:row>
    <x:row r="265" ht="24" customHeight="1">
      <x:c r="A265" s="33"/>
      <x:c r="B265" s="47" t="str">
        <x:v>Indonesian</x:v>
      </x:c>
      <x:c r="C265" s="47" t="str">
        <x:v>typesafe/jev-1.13</x:v>
      </x:c>
      <x:c r="D265" s="52" t="n">
        <x:f>'Indonesian'!C169</x:f>
        <x:v>0.911978221415608</x:v>
      </x:c>
      <x:c r="E265" s="50" t="n">
        <x:f>'Indonesian'!D169</x:f>
        <x:v>0.8181818181818182</x:v>
      </x:c>
      <x:c r="F265" s="52" t="n">
        <x:f>'Indonesian'!E169</x:f>
        <x:v>0.7315634218289085</x:v>
      </x:c>
      <x:c r="G265" s="50" t="n">
        <x:f>'Indonesian'!F169</x:f>
        <x:v>0.9309262166405023</x:v>
      </x:c>
      <x:c r="H265" s="50" t="n">
        <x:f>'Indonesian'!G169</x:f>
        <x:v>0.5581162324649298</x:v>
      </x:c>
      <x:c r="I265" s="50" t="n">
        <x:f>AVERAGE(D265:H265)</x:f>
        <x:v>0.7901531821063534</x:v>
      </x:c>
      <x:c r="J265" s="33"/>
      <x:c r="K265" s="33"/>
      <x:c r="L265" s="33"/>
    </x:row>
    <x:row r="266" ht="24" customHeight="1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33"/>
      <x:c r="K266" s="33"/>
      <x:c r="L266" s="33"/>
    </x:row>
    <x:row r="267" ht="24" customHeight="1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33"/>
      <x:c r="K267" s="33"/>
      <x:c r="L267" s="33"/>
    </x:row>
    <x:row r="268" ht="29" customHeight="1">
      <x:c r="A268" s="33"/>
      <x:c r="B268" s="36" t="str">
        <x:v>TABLE 21.</x:v>
      </x:c>
      <x:c r="C268" s="37" t="str">
        <x:v>Indonesian emotion classification F1.</x:v>
      </x:c>
      <x:c r="D268" s="37"/>
      <x:c r="E268" s="37"/>
      <x:c r="F268" s="37"/>
      <x:c r="G268" s="37"/>
      <x:c r="H268" s="37"/>
      <x:c r="I268" s="37"/>
      <x:c r="J268" s="33"/>
      <x:c r="K268" s="33"/>
      <x:c r="L268" s="33"/>
    </x:row>
    <x:row r="269" ht="21" customHeight="1">
      <x:c r="A269" s="33"/>
      <x:c r="B269" s="38" t="str">
        <x:v>Indonesian: emotion, n = 4,403</x:v>
      </x:c>
      <x:c r="C269" s="38"/>
      <x:c r="D269" s="38"/>
      <x:c r="E269" s="38"/>
      <x:c r="F269" s="38"/>
      <x:c r="G269" s="38"/>
      <x:c r="H269" s="38"/>
      <x:c r="I269" s="38"/>
      <x:c r="J269" s="33"/>
      <x:c r="K269" s="33"/>
      <x:c r="L269" s="33"/>
    </x:row>
    <x:row r="270" ht="9" customHeight="1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33"/>
      <x:c r="K270" s="33"/>
      <x:c r="L270" s="33"/>
    </x:row>
    <x:row r="271" ht="42" customHeight="1">
      <x:c r="A271" s="33"/>
      <x:c r="B271" s="43" t="str">
        <x:v>Country</x:v>
      </x:c>
      <x:c r="C271" s="43" t="str">
        <x:v>Model</x:v>
      </x:c>
      <x:c r="D271" s="42" t="str">
        <x:v>anger</x:v>
      </x:c>
      <x:c r="E271" s="42" t="str">
        <x:v>fear</x:v>
      </x:c>
      <x:c r="F271" s="42" t="str">
        <x:v>happy</x:v>
      </x:c>
      <x:c r="G271" s="42" t="str">
        <x:v>love</x:v>
      </x:c>
      <x:c r="H271" s="42" t="str">
        <x:v>sadness</x:v>
      </x:c>
      <x:c r="I271" s="42" t="str">
        <x:v>Macro-F1</x:v>
      </x:c>
      <x:c r="J271" s="33"/>
      <x:c r="K271" s="33"/>
      <x:c r="L271" s="33"/>
    </x:row>
    <x:row r="272" ht="24" customHeight="1">
      <x:c r="A272" s="33"/>
      <x:c r="B272" s="44" t="str">
        <x:v>Indonesian</x:v>
      </x:c>
      <x:c r="C272" s="44" t="str">
        <x:v>nimble:9b</x:v>
      </x:c>
      <x:c r="D272" s="49" t="n">
        <x:f>'Indonesian'!C176</x:f>
        <x:v>0.7672856578427499</x:v>
      </x:c>
      <x:c r="E272" s="49" t="n">
        <x:f>'Indonesian'!D176</x:f>
        <x:v>0.7848509266720387</x:v>
      </x:c>
      <x:c r="F272" s="49" t="n">
        <x:f>'Indonesian'!E176</x:f>
        <x:v>0.7811116576487949</x:v>
      </x:c>
      <x:c r="G272" s="49" t="n">
        <x:f>'Indonesian'!F176</x:f>
        <x:v>0.7670869276708693</x:v>
      </x:c>
      <x:c r="H272" s="49" t="n">
        <x:f>'Indonesian'!G176</x:f>
        <x:v>0.5461847389558233</x:v>
      </x:c>
      <x:c r="I272" s="49" t="n">
        <x:f>AVERAGE(D272:H272)</x:f>
        <x:v>0.7293039817580553</x:v>
      </x:c>
      <x:c r="J272" s="33"/>
      <x:c r="K272" s="33"/>
      <x:c r="L272" s="33"/>
    </x:row>
    <x:row r="273" ht="24" customHeight="1">
      <x:c r="A273" s="33"/>
      <x:c r="B273" s="44" t="str">
        <x:v>Indonesian</x:v>
      </x:c>
      <x:c r="C273" s="44" t="str">
        <x:v>tev1:0.8b</x:v>
      </x:c>
      <x:c r="D273" s="49" t="n">
        <x:f>'Indonesian'!C177</x:f>
        <x:v>0.628217660475725</x:v>
      </x:c>
      <x:c r="E273" s="49" t="n">
        <x:f>'Indonesian'!D177</x:f>
        <x:v>0.6128404669260701</x:v>
      </x:c>
      <x:c r="F273" s="49" t="n">
        <x:f>'Indonesian'!E177</x:f>
        <x:v>0.6722251172485669</x:v>
      </x:c>
      <x:c r="G273" s="49" t="n">
        <x:f>'Indonesian'!F177</x:f>
        <x:v>0.7149825783972126</x:v>
      </x:c>
      <x:c r="H273" s="49" t="n">
        <x:f>'Indonesian'!G177</x:f>
        <x:v>0.3675276752767528</x:v>
      </x:c>
      <x:c r="I273" s="49" t="n">
        <x:f>AVERAGE(D273:H273)</x:f>
        <x:v>0.5991586996648655</x:v>
      </x:c>
      <x:c r="J273" s="33"/>
      <x:c r="K273" s="33"/>
      <x:c r="L273" s="33"/>
    </x:row>
    <x:row r="274" ht="24" customHeight="1">
      <x:c r="A274" s="33"/>
      <x:c r="B274" s="44" t="str">
        <x:v>Indonesian</x:v>
      </x:c>
      <x:c r="C274" s="44" t="str">
        <x:v>tev1:4b</x:v>
      </x:c>
      <x:c r="D274" s="49" t="n">
        <x:f>'Indonesian'!C178</x:f>
        <x:v>0.7589588834402112</x:v>
      </x:c>
      <x:c r="E274" s="49" t="n">
        <x:f>'Indonesian'!D178</x:f>
        <x:v>0.7626262626262627</x:v>
      </x:c>
      <x:c r="F274" s="51" t="n">
        <x:f>'Indonesian'!E178</x:f>
        <x:v>0.7910523640061007</x:v>
      </x:c>
      <x:c r="G274" s="51" t="n">
        <x:f>'Indonesian'!F178</x:f>
        <x:v>0.8016997167138811</x:v>
      </x:c>
      <x:c r="H274" s="49" t="n">
        <x:f>'Indonesian'!G178</x:f>
        <x:v>0.5566750629722922</x:v>
      </x:c>
      <x:c r="I274" s="49" t="n">
        <x:f>AVERAGE(D274:H274)</x:f>
        <x:v>0.7342024579517497</x:v>
      </x:c>
      <x:c r="J274" s="33"/>
      <x:c r="K274" s="33"/>
      <x:c r="L274" s="33"/>
    </x:row>
    <x:row r="275" ht="24" customHeight="1">
      <x:c r="A275" s="33"/>
      <x:c r="B275" s="47" t="str">
        <x:v>Indonesian</x:v>
      </x:c>
      <x:c r="C275" s="47" t="str">
        <x:v>typesafe/jev-1.13</x:v>
      </x:c>
      <x:c r="D275" s="50" t="n">
        <x:f>'Indonesian'!C179</x:f>
        <x:v>0.8227589029881294</x:v>
      </x:c>
      <x:c r="E275" s="50" t="n">
        <x:f>'Indonesian'!D179</x:f>
        <x:v>0.8045454545454546</x:v>
      </x:c>
      <x:c r="F275" s="52" t="n">
        <x:f>'Indonesian'!E179</x:f>
        <x:v>0.7898089171974523</x:v>
      </x:c>
      <x:c r="G275" s="52" t="n">
        <x:f>'Indonesian'!F179</x:f>
        <x:v>0.8002699055330634</x:v>
      </x:c>
      <x:c r="H275" s="50" t="n">
        <x:f>'Indonesian'!G179</x:f>
        <x:v>0.6642814549791294</x:v>
      </x:c>
      <x:c r="I275" s="50" t="n">
        <x:f>AVERAGE(D275:H275)</x:f>
        <x:v>0.7763329270486458</x:v>
      </x:c>
      <x:c r="J275" s="33"/>
      <x:c r="K275" s="33"/>
      <x:c r="L275" s="33"/>
    </x:row>
    <x:row r="276" ht="24" customHeight="1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33"/>
      <x:c r="K276" s="33"/>
      <x:c r="L276" s="33"/>
    </x:row>
    <x:row r="277" ht="24" customHeight="1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33"/>
      <x:c r="K277" s="33"/>
      <x:c r="L277" s="33"/>
    </x:row>
    <x:row r="278" ht="29" customHeight="1">
      <x:c r="A278" s="33"/>
      <x:c r="B278" s="36" t="str">
        <x:v>TABLE 22.</x:v>
      </x:c>
      <x:c r="C278" s="37" t="str">
        <x:v>Indonesian emotion classification support.</x:v>
      </x:c>
      <x:c r="D278" s="37"/>
      <x:c r="E278" s="37"/>
      <x:c r="F278" s="37"/>
      <x:c r="G278" s="37"/>
      <x:c r="H278" s="37"/>
      <x:c r="I278" s="37"/>
      <x:c r="J278" s="33"/>
      <x:c r="K278" s="33"/>
      <x:c r="L278" s="33"/>
    </x:row>
    <x:row r="279" ht="21" customHeight="1">
      <x:c r="A279" s="33"/>
      <x:c r="B279" s="38" t="str">
        <x:v>Indonesian: emotion, n = 4,403</x:v>
      </x:c>
      <x:c r="C279" s="38"/>
      <x:c r="D279" s="38"/>
      <x:c r="E279" s="38"/>
      <x:c r="F279" s="38"/>
      <x:c r="G279" s="38"/>
      <x:c r="H279" s="38"/>
      <x:c r="I279" s="38"/>
      <x:c r="J279" s="33"/>
      <x:c r="K279" s="33"/>
      <x:c r="L279" s="33"/>
    </x:row>
    <x:row r="280" ht="9" customHeight="1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33"/>
      <x:c r="K280" s="33"/>
      <x:c r="L280" s="33"/>
    </x:row>
    <x:row r="281" ht="42" customHeight="1">
      <x:c r="A281" s="33"/>
      <x:c r="B281" s="43" t="str">
        <x:v>Country</x:v>
      </x:c>
      <x:c r="C281" s="43" t="str">
        <x:v>Model</x:v>
      </x:c>
      <x:c r="D281" s="42" t="str">
        <x:v>anger</x:v>
      </x:c>
      <x:c r="E281" s="42" t="str">
        <x:v>fear</x:v>
      </x:c>
      <x:c r="F281" s="42" t="str">
        <x:v>happy</x:v>
      </x:c>
      <x:c r="G281" s="42" t="str">
        <x:v>love</x:v>
      </x:c>
      <x:c r="H281" s="42" t="str">
        <x:v>sadness</x:v>
      </x:c>
      <x:c r="I281" s="42" t="str">
        <x:v>Total</x:v>
      </x:c>
      <x:c r="J281" s="33"/>
      <x:c r="K281" s="33"/>
      <x:c r="L281" s="33"/>
    </x:row>
    <x:row r="282" ht="24" customHeight="1">
      <x:c r="A282" s="33"/>
      <x:c r="B282" s="44" t="str">
        <x:v>Indonesian</x:v>
      </x:c>
      <x:c r="C282" s="44" t="str">
        <x:v>nimble:9b</x:v>
      </x:c>
      <x:c r="D282" s="53" t="n">
        <x:f>'Indonesian'!C186</x:f>
        <x:v>1102</x:v>
      </x:c>
      <x:c r="E282" s="53" t="n">
        <x:f>'Indonesian'!D186</x:f>
        <x:v>649</x:v>
      </x:c>
      <x:c r="F282" s="53" t="n">
        <x:f>'Indonesian'!E186</x:f>
        <x:v>1017</x:v>
      </x:c>
      <x:c r="G282" s="53" t="n">
        <x:f>'Indonesian'!F186</x:f>
        <x:v>637</x:v>
      </x:c>
      <x:c r="H282" s="53" t="n">
        <x:f>'Indonesian'!G186</x:f>
        <x:v>998</x:v>
      </x:c>
      <x:c r="I282" s="53" t="n">
        <x:f>SUM(D282:H282)</x:f>
        <x:v>4403</x:v>
      </x:c>
      <x:c r="J282" s="33"/>
      <x:c r="K282" s="33"/>
      <x:c r="L282" s="33"/>
    </x:row>
    <x:row r="283" ht="24" customHeight="1">
      <x:c r="A283" s="33"/>
      <x:c r="B283" s="44" t="str">
        <x:v>Indonesian</x:v>
      </x:c>
      <x:c r="C283" s="44" t="str">
        <x:v>tev1:0.8b</x:v>
      </x:c>
      <x:c r="D283" s="53" t="n">
        <x:f>'Indonesian'!C187</x:f>
        <x:v>1102</x:v>
      </x:c>
      <x:c r="E283" s="53" t="n">
        <x:f>'Indonesian'!D187</x:f>
        <x:v>649</x:v>
      </x:c>
      <x:c r="F283" s="53" t="n">
        <x:f>'Indonesian'!E187</x:f>
        <x:v>1017</x:v>
      </x:c>
      <x:c r="G283" s="53" t="n">
        <x:f>'Indonesian'!F187</x:f>
        <x:v>637</x:v>
      </x:c>
      <x:c r="H283" s="53" t="n">
        <x:f>'Indonesian'!G187</x:f>
        <x:v>998</x:v>
      </x:c>
      <x:c r="I283" s="53" t="n">
        <x:f>SUM(D283:H283)</x:f>
        <x:v>4403</x:v>
      </x:c>
      <x:c r="J283" s="33"/>
      <x:c r="K283" s="33"/>
      <x:c r="L283" s="33"/>
    </x:row>
    <x:row r="284" ht="24" customHeight="1">
      <x:c r="A284" s="33"/>
      <x:c r="B284" s="44" t="str">
        <x:v>Indonesian</x:v>
      </x:c>
      <x:c r="C284" s="44" t="str">
        <x:v>tev1:4b</x:v>
      </x:c>
      <x:c r="D284" s="53" t="n">
        <x:f>'Indonesian'!C188</x:f>
        <x:v>1102</x:v>
      </x:c>
      <x:c r="E284" s="53" t="n">
        <x:f>'Indonesian'!D188</x:f>
        <x:v>649</x:v>
      </x:c>
      <x:c r="F284" s="53" t="n">
        <x:f>'Indonesian'!E188</x:f>
        <x:v>1017</x:v>
      </x:c>
      <x:c r="G284" s="53" t="n">
        <x:f>'Indonesian'!F188</x:f>
        <x:v>637</x:v>
      </x:c>
      <x:c r="H284" s="53" t="n">
        <x:f>'Indonesian'!G188</x:f>
        <x:v>998</x:v>
      </x:c>
      <x:c r="I284" s="53" t="n">
        <x:f>SUM(D284:H284)</x:f>
        <x:v>4403</x:v>
      </x:c>
      <x:c r="J284" s="33"/>
      <x:c r="K284" s="33"/>
      <x:c r="L284" s="33"/>
    </x:row>
    <x:row r="285" ht="24" customHeight="1">
      <x:c r="A285" s="33"/>
      <x:c r="B285" s="47" t="str">
        <x:v>Indonesian</x:v>
      </x:c>
      <x:c r="C285" s="47" t="str">
        <x:v>typesafe/jev-1.13</x:v>
      </x:c>
      <x:c r="D285" s="54" t="n">
        <x:f>'Indonesian'!C189</x:f>
        <x:v>1102</x:v>
      </x:c>
      <x:c r="E285" s="54" t="n">
        <x:f>'Indonesian'!D189</x:f>
        <x:v>649</x:v>
      </x:c>
      <x:c r="F285" s="54" t="n">
        <x:f>'Indonesian'!E189</x:f>
        <x:v>1017</x:v>
      </x:c>
      <x:c r="G285" s="54" t="n">
        <x:f>'Indonesian'!F189</x:f>
        <x:v>637</x:v>
      </x:c>
      <x:c r="H285" s="54" t="n">
        <x:f>'Indonesian'!G189</x:f>
        <x:v>998</x:v>
      </x:c>
      <x:c r="I285" s="54" t="n">
        <x:f>SUM(D285:H285)</x:f>
        <x:v>4403</x:v>
      </x:c>
      <x:c r="J285" s="33"/>
      <x:c r="K285" s="33"/>
      <x:c r="L285" s="33"/>
    </x:row>
    <x:row r="286" ht="24" customHeight="1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33"/>
      <x:c r="K286" s="33"/>
      <x:c r="L286" s="33"/>
    </x:row>
    <x:row r="287" ht="24" customHeight="1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</x:row>
    <x:row r="288" ht="23" customHeight="1">
      <x:c r="A288" s="33"/>
      <x:c r="B288" s="38" t="str">
        <x:v>Macro-Precision, Macro-Recall and Macro-F1 are unweighted averages across the classes shown.</x:v>
      </x:c>
      <x:c r="C288" s="38"/>
      <x:c r="D288" s="38"/>
      <x:c r="E288" s="38"/>
      <x:c r="F288" s="38"/>
      <x:c r="G288" s="38"/>
      <x:c r="H288" s="38"/>
      <x:c r="I288" s="38"/>
      <x:c r="J288" s="33"/>
      <x:c r="K288" s="33"/>
      <x:c r="L288" s="33"/>
    </x:row>
    <x:row r="289" ht="23" customHeight="1">
      <x:c r="A289" s="33"/>
      <x:c r="B289" s="38" t="str">
        <x:v>Support is the number of true examples in each class. Total support is calculated across classes.</x:v>
      </x:c>
      <x:c r="C289" s="38"/>
      <x:c r="D289" s="38"/>
      <x:c r="E289" s="38"/>
      <x:c r="F289" s="38"/>
      <x:c r="G289" s="38"/>
      <x:c r="H289" s="38"/>
      <x:c r="I289" s="38"/>
      <x:c r="J289" s="33"/>
      <x:c r="K289" s="33"/>
      <x:c r="L289" s="33"/>
    </x:row>
    <x:row r="290" ht="23" customHeight="1">
      <x:c r="A290" s="33"/>
      <x:c r="B290" s="38" t="str">
        <x:v>Best scores are bold within each country and class; ties are included. Original class labels are retained.</x:v>
      </x:c>
      <x:c r="C290" s="38"/>
      <x:c r="D290" s="38"/>
      <x:c r="E290" s="38"/>
      <x:c r="F290" s="38"/>
      <x:c r="G290" s="38"/>
      <x:c r="H290" s="38"/>
      <x:c r="I290" s="38"/>
      <x:c r="J290" s="33"/>
      <x:c r="K290" s="33"/>
      <x:c r="L290" s="33"/>
    </x:row>
    <x:row r="291" ht="24" customHeight="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33"/>
      <x:c r="K291" s="33"/>
      <x:c r="L291" s="33"/>
    </x:row>
    <x:row r="292" ht="24" customHeight="1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33"/>
      <x:c r="K292" s="33"/>
      <x:c r="L292" s="33"/>
    </x:row>
    <x:row r="293" ht="24" customHeight="1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33"/>
      <x:c r="K293" s="33"/>
      <x:c r="L293" s="33"/>
    </x:row>
    <x:row r="294" ht="24" customHeight="1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33"/>
      <x:c r="K294" s="33"/>
      <x:c r="L294" s="33"/>
    </x:row>
    <x:row r="295" ht="24" customHeight="1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33"/>
      <x:c r="K295" s="33"/>
      <x:c r="L295" s="33"/>
    </x:row>
    <x:row r="296" ht="24" customHeight="1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33"/>
      <x:c r="K296" s="33"/>
      <x:c r="L296" s="33"/>
    </x:row>
    <x:row r="297" ht="24" customHeight="1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33"/>
      <x:c r="K297" s="33"/>
      <x:c r="L297" s="33"/>
    </x:row>
    <x:row r="298" ht="24" customHeight="1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33"/>
      <x:c r="K298" s="33"/>
      <x:c r="L298" s="33"/>
    </x:row>
    <x:row r="299" ht="24" customHeight="1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</x:row>
    <x:row r="300" ht="24" customHeight="1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33"/>
      <x:c r="K300" s="33"/>
      <x:c r="L300" s="33"/>
    </x:row>
  </x:sheetData>
  <x:mergeCells>
    <x:mergeCell ref="C2:G2"/>
    <x:mergeCell ref="B3:G3"/>
    <x:mergeCell ref="C16:G16"/>
    <x:mergeCell ref="B17:G17"/>
    <x:mergeCell ref="C30:G30"/>
    <x:mergeCell ref="B31:G31"/>
    <x:mergeCell ref="C44:G44"/>
    <x:mergeCell ref="B45:G45"/>
    <x:mergeCell ref="C58:H58"/>
    <x:mergeCell ref="B59:H59"/>
    <x:mergeCell ref="C72:H72"/>
    <x:mergeCell ref="B73:H73"/>
    <x:mergeCell ref="C86:F86"/>
    <x:mergeCell ref="B87:F87"/>
    <x:mergeCell ref="C100:F100"/>
    <x:mergeCell ref="B101:F101"/>
    <x:mergeCell ref="C114:I114"/>
    <x:mergeCell ref="B115:I115"/>
    <x:mergeCell ref="C128:I128"/>
    <x:mergeCell ref="B129:I129"/>
    <x:mergeCell ref="B142:I142"/>
    <x:mergeCell ref="B143:I143"/>
    <x:mergeCell ref="B144:I144"/>
    <x:mergeCell ref="B145:I145"/>
    <x:mergeCell ref="B146:I146"/>
    <x:mergeCell ref="B147:I147"/>
    <x:mergeCell ref="C152:G152"/>
    <x:mergeCell ref="B153:G153"/>
    <x:mergeCell ref="C166:G166"/>
    <x:mergeCell ref="B167:G167"/>
    <x:mergeCell ref="C180:G180"/>
    <x:mergeCell ref="B181:G181"/>
    <x:mergeCell ref="C194:G194"/>
    <x:mergeCell ref="B195:G195"/>
    <x:mergeCell ref="C208:L208"/>
    <x:mergeCell ref="B209:L209"/>
    <x:mergeCell ref="C218:L218"/>
    <x:mergeCell ref="B219:L219"/>
    <x:mergeCell ref="C228:L228"/>
    <x:mergeCell ref="B229:L229"/>
    <x:mergeCell ref="C238:L238"/>
    <x:mergeCell ref="B239:L239"/>
    <x:mergeCell ref="C248:I248"/>
    <x:mergeCell ref="B249:I249"/>
    <x:mergeCell ref="C258:I258"/>
    <x:mergeCell ref="B259:I259"/>
    <x:mergeCell ref="C268:I268"/>
    <x:mergeCell ref="B269:I269"/>
    <x:mergeCell ref="C278:I278"/>
    <x:mergeCell ref="B279:I279"/>
    <x:mergeCell ref="B288:I288"/>
    <x:mergeCell ref="B289:I289"/>
    <x:mergeCell ref="B290:I290"/>
  </x:mergeCells>
  <x:conditionalFormatting sqref="D6:D9">
    <x:cfRule type="expression" dxfId="88" priority="1">
      <x:formula>D6=MAX(D$6:D$9)</x:formula>
    </x:cfRule>
    <x:cfRule type="expression" dxfId="89" priority="2">
      <x:formula>D6&lt;&gt;MAX(D$6:D$9)</x:formula>
    </x:cfRule>
  </x:conditionalFormatting>
  <x:conditionalFormatting sqref="D10:D13">
    <x:cfRule type="expression" dxfId="90" priority="3">
      <x:formula>D10=MAX(D$10:D$13)</x:formula>
    </x:cfRule>
    <x:cfRule type="expression" dxfId="91" priority="4">
      <x:formula>D10&lt;&gt;MAX(D$10:D$13)</x:formula>
    </x:cfRule>
  </x:conditionalFormatting>
  <x:conditionalFormatting sqref="E6:E9">
    <x:cfRule type="expression" dxfId="92" priority="5">
      <x:formula>E6=MAX(E$6:E$9)</x:formula>
    </x:cfRule>
    <x:cfRule type="expression" dxfId="93" priority="6">
      <x:formula>E6&lt;&gt;MAX(E$6:E$9)</x:formula>
    </x:cfRule>
  </x:conditionalFormatting>
  <x:conditionalFormatting sqref="E10:E13">
    <x:cfRule type="expression" dxfId="94" priority="7">
      <x:formula>E10=MAX(E$10:E$13)</x:formula>
    </x:cfRule>
    <x:cfRule type="expression" dxfId="95" priority="8">
      <x:formula>E10&lt;&gt;MAX(E$10:E$13)</x:formula>
    </x:cfRule>
  </x:conditionalFormatting>
  <x:conditionalFormatting sqref="F6:F9">
    <x:cfRule type="expression" dxfId="96" priority="9">
      <x:formula>F6=MAX(F$6:F$9)</x:formula>
    </x:cfRule>
    <x:cfRule type="expression" dxfId="97" priority="10">
      <x:formula>F6&lt;&gt;MAX(F$6:F$9)</x:formula>
    </x:cfRule>
  </x:conditionalFormatting>
  <x:conditionalFormatting sqref="F10:F13">
    <x:cfRule type="expression" dxfId="98" priority="11">
      <x:formula>F10=MAX(F$10:F$13)</x:formula>
    </x:cfRule>
    <x:cfRule type="expression" dxfId="99" priority="12">
      <x:formula>F10&lt;&gt;MAX(F$10:F$13)</x:formula>
    </x:cfRule>
  </x:conditionalFormatting>
  <x:conditionalFormatting sqref="G6:G9">
    <x:cfRule type="expression" dxfId="100" priority="13">
      <x:formula>G6=MAX(G$6:G$9)</x:formula>
    </x:cfRule>
    <x:cfRule type="expression" dxfId="101" priority="14">
      <x:formula>G6&lt;&gt;MAX(G$6:G$9)</x:formula>
    </x:cfRule>
  </x:conditionalFormatting>
  <x:conditionalFormatting sqref="G10:G13">
    <x:cfRule type="expression" dxfId="102" priority="15">
      <x:formula>G10=MAX(G$10:G$13)</x:formula>
    </x:cfRule>
    <x:cfRule type="expression" dxfId="103" priority="16">
      <x:formula>G10&lt;&gt;MAX(G$10:G$13)</x:formula>
    </x:cfRule>
  </x:conditionalFormatting>
  <x:conditionalFormatting sqref="D20:D23">
    <x:cfRule type="expression" dxfId="104" priority="17">
      <x:formula>D20=MAX(D$20:D$23)</x:formula>
    </x:cfRule>
    <x:cfRule type="expression" dxfId="105" priority="18">
      <x:formula>D20&lt;&gt;MAX(D$20:D$23)</x:formula>
    </x:cfRule>
  </x:conditionalFormatting>
  <x:conditionalFormatting sqref="D24:D27">
    <x:cfRule type="expression" dxfId="106" priority="19">
      <x:formula>D24=MAX(D$24:D$27)</x:formula>
    </x:cfRule>
    <x:cfRule type="expression" dxfId="107" priority="20">
      <x:formula>D24&lt;&gt;MAX(D$24:D$27)</x:formula>
    </x:cfRule>
  </x:conditionalFormatting>
  <x:conditionalFormatting sqref="E20:E23">
    <x:cfRule type="expression" dxfId="108" priority="21">
      <x:formula>E20=MAX(E$20:E$23)</x:formula>
    </x:cfRule>
    <x:cfRule type="expression" dxfId="109" priority="22">
      <x:formula>E20&lt;&gt;MAX(E$20:E$23)</x:formula>
    </x:cfRule>
  </x:conditionalFormatting>
  <x:conditionalFormatting sqref="E24:E27">
    <x:cfRule type="expression" dxfId="110" priority="23">
      <x:formula>E24=MAX(E$24:E$27)</x:formula>
    </x:cfRule>
    <x:cfRule type="expression" dxfId="111" priority="24">
      <x:formula>E24&lt;&gt;MAX(E$24:E$27)</x:formula>
    </x:cfRule>
  </x:conditionalFormatting>
  <x:conditionalFormatting sqref="F20:F23">
    <x:cfRule type="expression" dxfId="112" priority="25">
      <x:formula>F20=MAX(F$20:F$23)</x:formula>
    </x:cfRule>
    <x:cfRule type="expression" dxfId="113" priority="26">
      <x:formula>F20&lt;&gt;MAX(F$20:F$23)</x:formula>
    </x:cfRule>
  </x:conditionalFormatting>
  <x:conditionalFormatting sqref="F24:F27">
    <x:cfRule type="expression" dxfId="114" priority="27">
      <x:formula>F24=MAX(F$24:F$27)</x:formula>
    </x:cfRule>
    <x:cfRule type="expression" dxfId="115" priority="28">
      <x:formula>F24&lt;&gt;MAX(F$24:F$27)</x:formula>
    </x:cfRule>
  </x:conditionalFormatting>
  <x:conditionalFormatting sqref="G20:G23">
    <x:cfRule type="expression" dxfId="116" priority="29">
      <x:formula>G20=MAX(G$20:G$23)</x:formula>
    </x:cfRule>
    <x:cfRule type="expression" dxfId="117" priority="30">
      <x:formula>G20&lt;&gt;MAX(G$20:G$23)</x:formula>
    </x:cfRule>
  </x:conditionalFormatting>
  <x:conditionalFormatting sqref="G24:G27">
    <x:cfRule type="expression" dxfId="118" priority="31">
      <x:formula>G24=MAX(G$24:G$27)</x:formula>
    </x:cfRule>
    <x:cfRule type="expression" dxfId="119" priority="32">
      <x:formula>G24&lt;&gt;MAX(G$24:G$27)</x:formula>
    </x:cfRule>
  </x:conditionalFormatting>
  <x:conditionalFormatting sqref="D62:D65">
    <x:cfRule type="expression" dxfId="120" priority="33">
      <x:formula>D62=MIN(D$62:D$65)</x:formula>
    </x:cfRule>
    <x:cfRule type="expression" dxfId="121" priority="34">
      <x:formula>D62&lt;&gt;MIN(D$62:D$65)</x:formula>
    </x:cfRule>
  </x:conditionalFormatting>
  <x:conditionalFormatting sqref="D66:D69">
    <x:cfRule type="expression" dxfId="122" priority="35">
      <x:formula>D66=MIN(D$66:D$69)</x:formula>
    </x:cfRule>
    <x:cfRule type="expression" dxfId="123" priority="36">
      <x:formula>D66&lt;&gt;MIN(D$66:D$69)</x:formula>
    </x:cfRule>
  </x:conditionalFormatting>
  <x:conditionalFormatting sqref="E62:E65">
    <x:cfRule type="expression" dxfId="124" priority="37">
      <x:formula>E62=MIN(E$62:E$65)</x:formula>
    </x:cfRule>
    <x:cfRule type="expression" dxfId="125" priority="38">
      <x:formula>E62&lt;&gt;MIN(E$62:E$65)</x:formula>
    </x:cfRule>
  </x:conditionalFormatting>
  <x:conditionalFormatting sqref="E66:E69">
    <x:cfRule type="expression" dxfId="126" priority="39">
      <x:formula>E66=MIN(E$66:E$69)</x:formula>
    </x:cfRule>
    <x:cfRule type="expression" dxfId="127" priority="40">
      <x:formula>E66&lt;&gt;MIN(E$66:E$69)</x:formula>
    </x:cfRule>
  </x:conditionalFormatting>
  <x:conditionalFormatting sqref="F62:F65">
    <x:cfRule type="expression" dxfId="128" priority="41">
      <x:formula>F62=MIN(F$62:F$65)</x:formula>
    </x:cfRule>
    <x:cfRule type="expression" dxfId="129" priority="42">
      <x:formula>F62&lt;&gt;MIN(F$62:F$65)</x:formula>
    </x:cfRule>
  </x:conditionalFormatting>
  <x:conditionalFormatting sqref="F66:F69">
    <x:cfRule type="expression" dxfId="130" priority="43">
      <x:formula>F66=MIN(F$66:F$69)</x:formula>
    </x:cfRule>
    <x:cfRule type="expression" dxfId="131" priority="44">
      <x:formula>F66&lt;&gt;MIN(F$66:F$69)</x:formula>
    </x:cfRule>
  </x:conditionalFormatting>
  <x:conditionalFormatting sqref="G62:G65">
    <x:cfRule type="expression" dxfId="132" priority="45">
      <x:formula>G62=MAX(G$62:G$65)</x:formula>
    </x:cfRule>
    <x:cfRule type="expression" dxfId="133" priority="46">
      <x:formula>G62&lt;&gt;MAX(G$62:G$65)</x:formula>
    </x:cfRule>
  </x:conditionalFormatting>
  <x:conditionalFormatting sqref="G66:G69">
    <x:cfRule type="expression" dxfId="134" priority="47">
      <x:formula>G66=MAX(G$66:G$69)</x:formula>
    </x:cfRule>
    <x:cfRule type="expression" dxfId="135" priority="48">
      <x:formula>G66&lt;&gt;MAX(G$66:G$69)</x:formula>
    </x:cfRule>
  </x:conditionalFormatting>
  <x:conditionalFormatting sqref="D76:D79">
    <x:cfRule type="expression" dxfId="136" priority="49">
      <x:formula>D76=MIN(D$76:D$79)</x:formula>
    </x:cfRule>
    <x:cfRule type="expression" dxfId="137" priority="50">
      <x:formula>D76&lt;&gt;MIN(D$76:D$79)</x:formula>
    </x:cfRule>
  </x:conditionalFormatting>
  <x:conditionalFormatting sqref="D80:D83">
    <x:cfRule type="expression" dxfId="138" priority="51">
      <x:formula>D80=MIN(D$80:D$83)</x:formula>
    </x:cfRule>
    <x:cfRule type="expression" dxfId="139" priority="52">
      <x:formula>D80&lt;&gt;MIN(D$80:D$83)</x:formula>
    </x:cfRule>
  </x:conditionalFormatting>
  <x:conditionalFormatting sqref="E76:E79">
    <x:cfRule type="expression" dxfId="140" priority="53">
      <x:formula>E76=MIN(E$76:E$79)</x:formula>
    </x:cfRule>
    <x:cfRule type="expression" dxfId="141" priority="54">
      <x:formula>E76&lt;&gt;MIN(E$76:E$79)</x:formula>
    </x:cfRule>
  </x:conditionalFormatting>
  <x:conditionalFormatting sqref="E80:E83">
    <x:cfRule type="expression" dxfId="142" priority="55">
      <x:formula>E80=MIN(E$80:E$83)</x:formula>
    </x:cfRule>
    <x:cfRule type="expression" dxfId="143" priority="56">
      <x:formula>E80&lt;&gt;MIN(E$80:E$83)</x:formula>
    </x:cfRule>
  </x:conditionalFormatting>
  <x:conditionalFormatting sqref="F76:F79">
    <x:cfRule type="expression" dxfId="144" priority="57">
      <x:formula>F76=MIN(F$76:F$79)</x:formula>
    </x:cfRule>
    <x:cfRule type="expression" dxfId="145" priority="58">
      <x:formula>F76&lt;&gt;MIN(F$76:F$79)</x:formula>
    </x:cfRule>
  </x:conditionalFormatting>
  <x:conditionalFormatting sqref="F80:F83">
    <x:cfRule type="expression" dxfId="146" priority="59">
      <x:formula>F80=MIN(F$80:F$83)</x:formula>
    </x:cfRule>
    <x:cfRule type="expression" dxfId="147" priority="60">
      <x:formula>F80&lt;&gt;MIN(F$80:F$83)</x:formula>
    </x:cfRule>
  </x:conditionalFormatting>
  <x:conditionalFormatting sqref="G76:G79">
    <x:cfRule type="expression" dxfId="148" priority="61">
      <x:formula>G76=MAX(G$76:G$79)</x:formula>
    </x:cfRule>
    <x:cfRule type="expression" dxfId="149" priority="62">
      <x:formula>G76&lt;&gt;MAX(G$76:G$79)</x:formula>
    </x:cfRule>
  </x:conditionalFormatting>
  <x:conditionalFormatting sqref="G80:G83">
    <x:cfRule type="expression" dxfId="150" priority="63">
      <x:formula>G80=MAX(G$80:G$83)</x:formula>
    </x:cfRule>
    <x:cfRule type="expression" dxfId="151" priority="64">
      <x:formula>G80&lt;&gt;MAX(G$80:G$83)</x:formula>
    </x:cfRule>
  </x:conditionalFormatting>
  <x:conditionalFormatting sqref="D90:D93">
    <x:cfRule type="expression" dxfId="152" priority="65">
      <x:formula>D90=MIN(D$90:D$93)</x:formula>
    </x:cfRule>
    <x:cfRule type="expression" dxfId="153" priority="66">
      <x:formula>D90&lt;&gt;MIN(D$90:D$93)</x:formula>
    </x:cfRule>
  </x:conditionalFormatting>
  <x:conditionalFormatting sqref="D94:D97">
    <x:cfRule type="expression" dxfId="154" priority="67">
      <x:formula>D94=MIN(D$94:D$97)</x:formula>
    </x:cfRule>
    <x:cfRule type="expression" dxfId="155" priority="68">
      <x:formula>D94&lt;&gt;MIN(D$94:D$97)</x:formula>
    </x:cfRule>
  </x:conditionalFormatting>
  <x:conditionalFormatting sqref="E90:E93">
    <x:cfRule type="expression" dxfId="156" priority="69">
      <x:formula>E90=MIN(E$90:E$93)</x:formula>
    </x:cfRule>
    <x:cfRule type="expression" dxfId="157" priority="70">
      <x:formula>E90&lt;&gt;MIN(E$90:E$93)</x:formula>
    </x:cfRule>
  </x:conditionalFormatting>
  <x:conditionalFormatting sqref="E94:E97">
    <x:cfRule type="expression" dxfId="158" priority="71">
      <x:formula>E94=MIN(E$94:E$97)</x:formula>
    </x:cfRule>
    <x:cfRule type="expression" dxfId="159" priority="72">
      <x:formula>E94&lt;&gt;MIN(E$94:E$97)</x:formula>
    </x:cfRule>
  </x:conditionalFormatting>
  <x:conditionalFormatting sqref="F90:F93">
    <x:cfRule type="expression" dxfId="160" priority="73">
      <x:formula>F90=MIN(F$90:F$93)</x:formula>
    </x:cfRule>
    <x:cfRule type="expression" dxfId="161" priority="74">
      <x:formula>F90&lt;&gt;MIN(F$90:F$93)</x:formula>
    </x:cfRule>
  </x:conditionalFormatting>
  <x:conditionalFormatting sqref="F94:F97">
    <x:cfRule type="expression" dxfId="162" priority="75">
      <x:formula>F94=MIN(F$94:F$97)</x:formula>
    </x:cfRule>
    <x:cfRule type="expression" dxfId="163" priority="76">
      <x:formula>F94&lt;&gt;MIN(F$94:F$97)</x:formula>
    </x:cfRule>
  </x:conditionalFormatting>
  <x:conditionalFormatting sqref="D104:D107">
    <x:cfRule type="expression" dxfId="164" priority="77">
      <x:formula>D104=MIN(D$104:D$107)</x:formula>
    </x:cfRule>
    <x:cfRule type="expression" dxfId="165" priority="78">
      <x:formula>D104&lt;&gt;MIN(D$104:D$107)</x:formula>
    </x:cfRule>
  </x:conditionalFormatting>
  <x:conditionalFormatting sqref="D108:D111">
    <x:cfRule type="expression" dxfId="166" priority="79">
      <x:formula>D108=MIN(D$108:D$111)</x:formula>
    </x:cfRule>
    <x:cfRule type="expression" dxfId="167" priority="80">
      <x:formula>D108&lt;&gt;MIN(D$108:D$111)</x:formula>
    </x:cfRule>
  </x:conditionalFormatting>
  <x:conditionalFormatting sqref="E104:E107">
    <x:cfRule type="expression" dxfId="168" priority="81">
      <x:formula>E104=MIN(E$104:E$107)</x:formula>
    </x:cfRule>
    <x:cfRule type="expression" dxfId="169" priority="82">
      <x:formula>E104&lt;&gt;MIN(E$104:E$107)</x:formula>
    </x:cfRule>
  </x:conditionalFormatting>
  <x:conditionalFormatting sqref="E108:E111">
    <x:cfRule type="expression" dxfId="170" priority="83">
      <x:formula>E108=MIN(E$108:E$111)</x:formula>
    </x:cfRule>
    <x:cfRule type="expression" dxfId="171" priority="84">
      <x:formula>E108&lt;&gt;MIN(E$108:E$111)</x:formula>
    </x:cfRule>
  </x:conditionalFormatting>
  <x:conditionalFormatting sqref="F104:F107">
    <x:cfRule type="expression" dxfId="172" priority="85">
      <x:formula>F104=MIN(F$104:F$107)</x:formula>
    </x:cfRule>
    <x:cfRule type="expression" dxfId="173" priority="86">
      <x:formula>F104&lt;&gt;MIN(F$104:F$107)</x:formula>
    </x:cfRule>
  </x:conditionalFormatting>
  <x:conditionalFormatting sqref="F108:F111">
    <x:cfRule type="expression" dxfId="174" priority="87">
      <x:formula>F108=MIN(F$108:F$111)</x:formula>
    </x:cfRule>
    <x:cfRule type="expression" dxfId="175" priority="88">
      <x:formula>F108&lt;&gt;MIN(F$108:F$111)</x:formula>
    </x:cfRule>
  </x:conditionalFormatting>
  <x:conditionalFormatting sqref="D156:D159">
    <x:cfRule type="expression" dxfId="314" priority="89">
      <x:formula>D156=MAX(D$156:D$159)</x:formula>
    </x:cfRule>
    <x:cfRule type="expression" dxfId="315" priority="90">
      <x:formula>D156&lt;&gt;MAX(D$156:D$159)</x:formula>
    </x:cfRule>
  </x:conditionalFormatting>
  <x:conditionalFormatting sqref="D160:D163">
    <x:cfRule type="expression" dxfId="316" priority="91">
      <x:formula>D160=MAX(D$160:D$163)</x:formula>
    </x:cfRule>
    <x:cfRule type="expression" dxfId="317" priority="92">
      <x:formula>D160&lt;&gt;MAX(D$160:D$163)</x:formula>
    </x:cfRule>
  </x:conditionalFormatting>
  <x:conditionalFormatting sqref="E156:E159">
    <x:cfRule type="expression" dxfId="318" priority="93">
      <x:formula>E156=MAX(E$156:E$159)</x:formula>
    </x:cfRule>
    <x:cfRule type="expression" dxfId="319" priority="94">
      <x:formula>E156&lt;&gt;MAX(E$156:E$159)</x:formula>
    </x:cfRule>
  </x:conditionalFormatting>
  <x:conditionalFormatting sqref="E160:E163">
    <x:cfRule type="expression" dxfId="320" priority="95">
      <x:formula>E160=MAX(E$160:E$163)</x:formula>
    </x:cfRule>
    <x:cfRule type="expression" dxfId="321" priority="96">
      <x:formula>E160&lt;&gt;MAX(E$160:E$163)</x:formula>
    </x:cfRule>
  </x:conditionalFormatting>
  <x:conditionalFormatting sqref="F156:F159">
    <x:cfRule type="expression" dxfId="322" priority="97">
      <x:formula>F156=MAX(F$156:F$159)</x:formula>
    </x:cfRule>
    <x:cfRule type="expression" dxfId="323" priority="98">
      <x:formula>F156&lt;&gt;MAX(F$156:F$159)</x:formula>
    </x:cfRule>
  </x:conditionalFormatting>
  <x:conditionalFormatting sqref="F160:F163">
    <x:cfRule type="expression" dxfId="324" priority="99">
      <x:formula>F160=MAX(F$160:F$163)</x:formula>
    </x:cfRule>
    <x:cfRule type="expression" dxfId="325" priority="100">
      <x:formula>F160&lt;&gt;MAX(F$160:F$163)</x:formula>
    </x:cfRule>
  </x:conditionalFormatting>
  <x:conditionalFormatting sqref="G156:G159">
    <x:cfRule type="expression" dxfId="326" priority="101">
      <x:formula>G156=MAX(G$156:G$159)</x:formula>
    </x:cfRule>
    <x:cfRule type="expression" dxfId="327" priority="102">
      <x:formula>G156&lt;&gt;MAX(G$156:G$159)</x:formula>
    </x:cfRule>
  </x:conditionalFormatting>
  <x:conditionalFormatting sqref="G160:G163">
    <x:cfRule type="expression" dxfId="328" priority="103">
      <x:formula>G160=MAX(G$160:G$163)</x:formula>
    </x:cfRule>
    <x:cfRule type="expression" dxfId="329" priority="104">
      <x:formula>G160&lt;&gt;MAX(G$160:G$163)</x:formula>
    </x:cfRule>
  </x:conditionalFormatting>
  <x:conditionalFormatting sqref="D170:D173">
    <x:cfRule type="expression" dxfId="330" priority="105">
      <x:formula>D170=MAX(D$170:D$173)</x:formula>
    </x:cfRule>
    <x:cfRule type="expression" dxfId="331" priority="106">
      <x:formula>D170&lt;&gt;MAX(D$170:D$173)</x:formula>
    </x:cfRule>
  </x:conditionalFormatting>
  <x:conditionalFormatting sqref="D174:D177">
    <x:cfRule type="expression" dxfId="332" priority="107">
      <x:formula>D174=MAX(D$174:D$177)</x:formula>
    </x:cfRule>
    <x:cfRule type="expression" dxfId="333" priority="108">
      <x:formula>D174&lt;&gt;MAX(D$174:D$177)</x:formula>
    </x:cfRule>
  </x:conditionalFormatting>
  <x:conditionalFormatting sqref="E170:E173">
    <x:cfRule type="expression" dxfId="334" priority="109">
      <x:formula>E170=MAX(E$170:E$173)</x:formula>
    </x:cfRule>
    <x:cfRule type="expression" dxfId="335" priority="110">
      <x:formula>E170&lt;&gt;MAX(E$170:E$173)</x:formula>
    </x:cfRule>
  </x:conditionalFormatting>
  <x:conditionalFormatting sqref="E174:E177">
    <x:cfRule type="expression" dxfId="336" priority="111">
      <x:formula>E174=MAX(E$174:E$177)</x:formula>
    </x:cfRule>
    <x:cfRule type="expression" dxfId="337" priority="112">
      <x:formula>E174&lt;&gt;MAX(E$174:E$177)</x:formula>
    </x:cfRule>
  </x:conditionalFormatting>
  <x:conditionalFormatting sqref="F170:F173">
    <x:cfRule type="expression" dxfId="338" priority="113">
      <x:formula>F170=MAX(F$170:F$173)</x:formula>
    </x:cfRule>
    <x:cfRule type="expression" dxfId="339" priority="114">
      <x:formula>F170&lt;&gt;MAX(F$170:F$173)</x:formula>
    </x:cfRule>
  </x:conditionalFormatting>
  <x:conditionalFormatting sqref="F174:F177">
    <x:cfRule type="expression" dxfId="340" priority="115">
      <x:formula>F174=MAX(F$174:F$177)</x:formula>
    </x:cfRule>
    <x:cfRule type="expression" dxfId="341" priority="116">
      <x:formula>F174&lt;&gt;MAX(F$174:F$177)</x:formula>
    </x:cfRule>
  </x:conditionalFormatting>
  <x:conditionalFormatting sqref="G170:G173">
    <x:cfRule type="expression" dxfId="342" priority="117">
      <x:formula>G170=MAX(G$170:G$173)</x:formula>
    </x:cfRule>
    <x:cfRule type="expression" dxfId="343" priority="118">
      <x:formula>G170&lt;&gt;MAX(G$170:G$173)</x:formula>
    </x:cfRule>
  </x:conditionalFormatting>
  <x:conditionalFormatting sqref="G174:G177">
    <x:cfRule type="expression" dxfId="344" priority="119">
      <x:formula>G174=MAX(G$174:G$177)</x:formula>
    </x:cfRule>
    <x:cfRule type="expression" dxfId="345" priority="120">
      <x:formula>G174&lt;&gt;MAX(G$174:G$177)</x:formula>
    </x:cfRule>
  </x:conditionalFormatting>
  <x:conditionalFormatting sqref="D184:D187">
    <x:cfRule type="expression" dxfId="346" priority="121">
      <x:formula>D184=MAX(D$184:D$187)</x:formula>
    </x:cfRule>
    <x:cfRule type="expression" dxfId="347" priority="122">
      <x:formula>D184&lt;&gt;MAX(D$184:D$187)</x:formula>
    </x:cfRule>
  </x:conditionalFormatting>
  <x:conditionalFormatting sqref="D188:D191">
    <x:cfRule type="expression" dxfId="348" priority="123">
      <x:formula>D188=MAX(D$188:D$191)</x:formula>
    </x:cfRule>
    <x:cfRule type="expression" dxfId="349" priority="124">
      <x:formula>D188&lt;&gt;MAX(D$188:D$191)</x:formula>
    </x:cfRule>
  </x:conditionalFormatting>
  <x:conditionalFormatting sqref="E184:E187">
    <x:cfRule type="expression" dxfId="350" priority="125">
      <x:formula>E184=MAX(E$184:E$187)</x:formula>
    </x:cfRule>
    <x:cfRule type="expression" dxfId="351" priority="126">
      <x:formula>E184&lt;&gt;MAX(E$184:E$187)</x:formula>
    </x:cfRule>
  </x:conditionalFormatting>
  <x:conditionalFormatting sqref="E188:E191">
    <x:cfRule type="expression" dxfId="352" priority="127">
      <x:formula>E188=MAX(E$188:E$191)</x:formula>
    </x:cfRule>
    <x:cfRule type="expression" dxfId="353" priority="128">
      <x:formula>E188&lt;&gt;MAX(E$188:E$191)</x:formula>
    </x:cfRule>
  </x:conditionalFormatting>
  <x:conditionalFormatting sqref="F184:F187">
    <x:cfRule type="expression" dxfId="354" priority="129">
      <x:formula>F184=MAX(F$184:F$187)</x:formula>
    </x:cfRule>
    <x:cfRule type="expression" dxfId="355" priority="130">
      <x:formula>F184&lt;&gt;MAX(F$184:F$187)</x:formula>
    </x:cfRule>
  </x:conditionalFormatting>
  <x:conditionalFormatting sqref="F188:F191">
    <x:cfRule type="expression" dxfId="356" priority="131">
      <x:formula>F188=MAX(F$188:F$191)</x:formula>
    </x:cfRule>
    <x:cfRule type="expression" dxfId="357" priority="132">
      <x:formula>F188&lt;&gt;MAX(F$188:F$191)</x:formula>
    </x:cfRule>
  </x:conditionalFormatting>
  <x:conditionalFormatting sqref="G184:G187">
    <x:cfRule type="expression" dxfId="358" priority="133">
      <x:formula>G184=MAX(G$184:G$187)</x:formula>
    </x:cfRule>
    <x:cfRule type="expression" dxfId="359" priority="134">
      <x:formula>G184&lt;&gt;MAX(G$184:G$187)</x:formula>
    </x:cfRule>
  </x:conditionalFormatting>
  <x:conditionalFormatting sqref="G188:G191">
    <x:cfRule type="expression" dxfId="360" priority="135">
      <x:formula>G188=MAX(G$188:G$191)</x:formula>
    </x:cfRule>
    <x:cfRule type="expression" dxfId="361" priority="136">
      <x:formula>G188&lt;&gt;MAX(G$188:G$191)</x:formula>
    </x:cfRule>
  </x:conditionalFormatting>
  <x:conditionalFormatting sqref="D212:D215">
    <x:cfRule type="expression" dxfId="362" priority="137">
      <x:formula>D212=MAX(D$212:D$215)</x:formula>
    </x:cfRule>
    <x:cfRule type="expression" dxfId="363" priority="138">
      <x:formula>D212&lt;&gt;MAX(D$212:D$215)</x:formula>
    </x:cfRule>
  </x:conditionalFormatting>
  <x:conditionalFormatting sqref="E212:E215">
    <x:cfRule type="expression" dxfId="364" priority="139">
      <x:formula>E212=MAX(E$212:E$215)</x:formula>
    </x:cfRule>
    <x:cfRule type="expression" dxfId="365" priority="140">
      <x:formula>E212&lt;&gt;MAX(E$212:E$215)</x:formula>
    </x:cfRule>
  </x:conditionalFormatting>
  <x:conditionalFormatting sqref="F212:F215">
    <x:cfRule type="expression" dxfId="366" priority="141">
      <x:formula>F212=MAX(F$212:F$215)</x:formula>
    </x:cfRule>
    <x:cfRule type="expression" dxfId="367" priority="142">
      <x:formula>F212&lt;&gt;MAX(F$212:F$215)</x:formula>
    </x:cfRule>
  </x:conditionalFormatting>
  <x:conditionalFormatting sqref="G212:G215">
    <x:cfRule type="expression" dxfId="368" priority="143">
      <x:formula>G212=MAX(G$212:G$215)</x:formula>
    </x:cfRule>
    <x:cfRule type="expression" dxfId="369" priority="144">
      <x:formula>G212&lt;&gt;MAX(G$212:G$215)</x:formula>
    </x:cfRule>
  </x:conditionalFormatting>
  <x:conditionalFormatting sqref="H212:H215">
    <x:cfRule type="expression" dxfId="370" priority="145">
      <x:formula>H212=MAX(H$212:H$215)</x:formula>
    </x:cfRule>
    <x:cfRule type="expression" dxfId="371" priority="146">
      <x:formula>H212&lt;&gt;MAX(H$212:H$215)</x:formula>
    </x:cfRule>
  </x:conditionalFormatting>
  <x:conditionalFormatting sqref="I212:I215">
    <x:cfRule type="expression" dxfId="372" priority="147">
      <x:formula>I212=MAX(I$212:I$215)</x:formula>
    </x:cfRule>
    <x:cfRule type="expression" dxfId="373" priority="148">
      <x:formula>I212&lt;&gt;MAX(I$212:I$215)</x:formula>
    </x:cfRule>
  </x:conditionalFormatting>
  <x:conditionalFormatting sqref="J212:J215">
    <x:cfRule type="expression" dxfId="374" priority="149">
      <x:formula>J212=MAX(J$212:J$215)</x:formula>
    </x:cfRule>
    <x:cfRule type="expression" dxfId="375" priority="150">
      <x:formula>J212&lt;&gt;MAX(J$212:J$215)</x:formula>
    </x:cfRule>
  </x:conditionalFormatting>
  <x:conditionalFormatting sqref="K212:K215">
    <x:cfRule type="expression" dxfId="376" priority="151">
      <x:formula>K212=MAX(K$212:K$215)</x:formula>
    </x:cfRule>
    <x:cfRule type="expression" dxfId="377" priority="152">
      <x:formula>K212&lt;&gt;MAX(K$212:K$215)</x:formula>
    </x:cfRule>
  </x:conditionalFormatting>
  <x:conditionalFormatting sqref="L212:L215">
    <x:cfRule type="expression" dxfId="378" priority="153">
      <x:formula>L212=MAX(L$212:L$215)</x:formula>
    </x:cfRule>
    <x:cfRule type="expression" dxfId="379" priority="154">
      <x:formula>L212&lt;&gt;MAX(L$212:L$215)</x:formula>
    </x:cfRule>
  </x:conditionalFormatting>
  <x:conditionalFormatting sqref="D222:D225">
    <x:cfRule type="expression" dxfId="380" priority="155">
      <x:formula>D222=MAX(D$222:D$225)</x:formula>
    </x:cfRule>
    <x:cfRule type="expression" dxfId="381" priority="156">
      <x:formula>D222&lt;&gt;MAX(D$222:D$225)</x:formula>
    </x:cfRule>
  </x:conditionalFormatting>
  <x:conditionalFormatting sqref="E222:E225">
    <x:cfRule type="expression" dxfId="382" priority="157">
      <x:formula>E222=MAX(E$222:E$225)</x:formula>
    </x:cfRule>
    <x:cfRule type="expression" dxfId="383" priority="158">
      <x:formula>E222&lt;&gt;MAX(E$222:E$225)</x:formula>
    </x:cfRule>
  </x:conditionalFormatting>
  <x:conditionalFormatting sqref="F222:F225">
    <x:cfRule type="expression" dxfId="384" priority="159">
      <x:formula>F222=MAX(F$222:F$225)</x:formula>
    </x:cfRule>
    <x:cfRule type="expression" dxfId="385" priority="160">
      <x:formula>F222&lt;&gt;MAX(F$222:F$225)</x:formula>
    </x:cfRule>
  </x:conditionalFormatting>
  <x:conditionalFormatting sqref="G222:G225">
    <x:cfRule type="expression" dxfId="386" priority="161">
      <x:formula>G222=MAX(G$222:G$225)</x:formula>
    </x:cfRule>
    <x:cfRule type="expression" dxfId="387" priority="162">
      <x:formula>G222&lt;&gt;MAX(G$222:G$225)</x:formula>
    </x:cfRule>
  </x:conditionalFormatting>
  <x:conditionalFormatting sqref="H222:H225">
    <x:cfRule type="expression" dxfId="388" priority="163">
      <x:formula>H222=MAX(H$222:H$225)</x:formula>
    </x:cfRule>
    <x:cfRule type="expression" dxfId="389" priority="164">
      <x:formula>H222&lt;&gt;MAX(H$222:H$225)</x:formula>
    </x:cfRule>
  </x:conditionalFormatting>
  <x:conditionalFormatting sqref="I222:I225">
    <x:cfRule type="expression" dxfId="390" priority="165">
      <x:formula>I222=MAX(I$222:I$225)</x:formula>
    </x:cfRule>
    <x:cfRule type="expression" dxfId="391" priority="166">
      <x:formula>I222&lt;&gt;MAX(I$222:I$225)</x:formula>
    </x:cfRule>
  </x:conditionalFormatting>
  <x:conditionalFormatting sqref="J222:J225">
    <x:cfRule type="expression" dxfId="392" priority="167">
      <x:formula>J222=MAX(J$222:J$225)</x:formula>
    </x:cfRule>
    <x:cfRule type="expression" dxfId="393" priority="168">
      <x:formula>J222&lt;&gt;MAX(J$222:J$225)</x:formula>
    </x:cfRule>
  </x:conditionalFormatting>
  <x:conditionalFormatting sqref="K222:K225">
    <x:cfRule type="expression" dxfId="394" priority="169">
      <x:formula>K222=MAX(K$222:K$225)</x:formula>
    </x:cfRule>
    <x:cfRule type="expression" dxfId="395" priority="170">
      <x:formula>K222&lt;&gt;MAX(K$222:K$225)</x:formula>
    </x:cfRule>
  </x:conditionalFormatting>
  <x:conditionalFormatting sqref="L222:L225">
    <x:cfRule type="expression" dxfId="396" priority="171">
      <x:formula>L222=MAX(L$222:L$225)</x:formula>
    </x:cfRule>
    <x:cfRule type="expression" dxfId="397" priority="172">
      <x:formula>L222&lt;&gt;MAX(L$222:L$225)</x:formula>
    </x:cfRule>
  </x:conditionalFormatting>
  <x:conditionalFormatting sqref="D232:D235">
    <x:cfRule type="expression" dxfId="398" priority="173">
      <x:formula>D232=MAX(D$232:D$235)</x:formula>
    </x:cfRule>
    <x:cfRule type="expression" dxfId="399" priority="174">
      <x:formula>D232&lt;&gt;MAX(D$232:D$235)</x:formula>
    </x:cfRule>
  </x:conditionalFormatting>
  <x:conditionalFormatting sqref="E232:E235">
    <x:cfRule type="expression" dxfId="400" priority="175">
      <x:formula>E232=MAX(E$232:E$235)</x:formula>
    </x:cfRule>
    <x:cfRule type="expression" dxfId="401" priority="176">
      <x:formula>E232&lt;&gt;MAX(E$232:E$235)</x:formula>
    </x:cfRule>
  </x:conditionalFormatting>
  <x:conditionalFormatting sqref="F232:F235">
    <x:cfRule type="expression" dxfId="402" priority="177">
      <x:formula>F232=MAX(F$232:F$235)</x:formula>
    </x:cfRule>
    <x:cfRule type="expression" dxfId="403" priority="178">
      <x:formula>F232&lt;&gt;MAX(F$232:F$235)</x:formula>
    </x:cfRule>
  </x:conditionalFormatting>
  <x:conditionalFormatting sqref="G232:G235">
    <x:cfRule type="expression" dxfId="404" priority="179">
      <x:formula>G232=MAX(G$232:G$235)</x:formula>
    </x:cfRule>
    <x:cfRule type="expression" dxfId="405" priority="180">
      <x:formula>G232&lt;&gt;MAX(G$232:G$235)</x:formula>
    </x:cfRule>
  </x:conditionalFormatting>
  <x:conditionalFormatting sqref="H232:H235">
    <x:cfRule type="expression" dxfId="406" priority="181">
      <x:formula>H232=MAX(H$232:H$235)</x:formula>
    </x:cfRule>
    <x:cfRule type="expression" dxfId="407" priority="182">
      <x:formula>H232&lt;&gt;MAX(H$232:H$235)</x:formula>
    </x:cfRule>
  </x:conditionalFormatting>
  <x:conditionalFormatting sqref="I232:I235">
    <x:cfRule type="expression" dxfId="408" priority="183">
      <x:formula>I232=MAX(I$232:I$235)</x:formula>
    </x:cfRule>
    <x:cfRule type="expression" dxfId="409" priority="184">
      <x:formula>I232&lt;&gt;MAX(I$232:I$235)</x:formula>
    </x:cfRule>
  </x:conditionalFormatting>
  <x:conditionalFormatting sqref="J232:J235">
    <x:cfRule type="expression" dxfId="410" priority="185">
      <x:formula>J232=MAX(J$232:J$235)</x:formula>
    </x:cfRule>
    <x:cfRule type="expression" dxfId="411" priority="186">
      <x:formula>J232&lt;&gt;MAX(J$232:J$235)</x:formula>
    </x:cfRule>
  </x:conditionalFormatting>
  <x:conditionalFormatting sqref="K232:K235">
    <x:cfRule type="expression" dxfId="412" priority="187">
      <x:formula>K232=MAX(K$232:K$235)</x:formula>
    </x:cfRule>
    <x:cfRule type="expression" dxfId="413" priority="188">
      <x:formula>K232&lt;&gt;MAX(K$232:K$235)</x:formula>
    </x:cfRule>
  </x:conditionalFormatting>
  <x:conditionalFormatting sqref="L232:L235">
    <x:cfRule type="expression" dxfId="414" priority="189">
      <x:formula>L232=MAX(L$232:L$235)</x:formula>
    </x:cfRule>
    <x:cfRule type="expression" dxfId="415" priority="190">
      <x:formula>L232&lt;&gt;MAX(L$232:L$235)</x:formula>
    </x:cfRule>
  </x:conditionalFormatting>
  <x:conditionalFormatting sqref="D252:D255">
    <x:cfRule type="expression" dxfId="416" priority="191">
      <x:formula>D252=MAX(D$252:D$255)</x:formula>
    </x:cfRule>
    <x:cfRule type="expression" dxfId="417" priority="192">
      <x:formula>D252&lt;&gt;MAX(D$252:D$255)</x:formula>
    </x:cfRule>
  </x:conditionalFormatting>
  <x:conditionalFormatting sqref="E252:E255">
    <x:cfRule type="expression" dxfId="418" priority="193">
      <x:formula>E252=MAX(E$252:E$255)</x:formula>
    </x:cfRule>
    <x:cfRule type="expression" dxfId="419" priority="194">
      <x:formula>E252&lt;&gt;MAX(E$252:E$255)</x:formula>
    </x:cfRule>
  </x:conditionalFormatting>
  <x:conditionalFormatting sqref="F252:F255">
    <x:cfRule type="expression" dxfId="420" priority="195">
      <x:formula>F252=MAX(F$252:F$255)</x:formula>
    </x:cfRule>
    <x:cfRule type="expression" dxfId="421" priority="196">
      <x:formula>F252&lt;&gt;MAX(F$252:F$255)</x:formula>
    </x:cfRule>
  </x:conditionalFormatting>
  <x:conditionalFormatting sqref="G252:G255">
    <x:cfRule type="expression" dxfId="422" priority="197">
      <x:formula>G252=MAX(G$252:G$255)</x:formula>
    </x:cfRule>
    <x:cfRule type="expression" dxfId="423" priority="198">
      <x:formula>G252&lt;&gt;MAX(G$252:G$255)</x:formula>
    </x:cfRule>
  </x:conditionalFormatting>
  <x:conditionalFormatting sqref="H252:H255">
    <x:cfRule type="expression" dxfId="424" priority="199">
      <x:formula>H252=MAX(H$252:H$255)</x:formula>
    </x:cfRule>
    <x:cfRule type="expression" dxfId="425" priority="200">
      <x:formula>H252&lt;&gt;MAX(H$252:H$255)</x:formula>
    </x:cfRule>
  </x:conditionalFormatting>
  <x:conditionalFormatting sqref="I252:I255">
    <x:cfRule type="expression" dxfId="426" priority="201">
      <x:formula>I252=MAX(I$252:I$255)</x:formula>
    </x:cfRule>
    <x:cfRule type="expression" dxfId="427" priority="202">
      <x:formula>I252&lt;&gt;MAX(I$252:I$255)</x:formula>
    </x:cfRule>
  </x:conditionalFormatting>
  <x:conditionalFormatting sqref="D262:D265">
    <x:cfRule type="expression" dxfId="428" priority="203">
      <x:formula>D262=MAX(D$262:D$265)</x:formula>
    </x:cfRule>
    <x:cfRule type="expression" dxfId="429" priority="204">
      <x:formula>D262&lt;&gt;MAX(D$262:D$265)</x:formula>
    </x:cfRule>
  </x:conditionalFormatting>
  <x:conditionalFormatting sqref="E262:E265">
    <x:cfRule type="expression" dxfId="430" priority="205">
      <x:formula>E262=MAX(E$262:E$265)</x:formula>
    </x:cfRule>
    <x:cfRule type="expression" dxfId="431" priority="206">
      <x:formula>E262&lt;&gt;MAX(E$262:E$265)</x:formula>
    </x:cfRule>
  </x:conditionalFormatting>
  <x:conditionalFormatting sqref="F262:F265">
    <x:cfRule type="expression" dxfId="432" priority="207">
      <x:formula>F262=MAX(F$262:F$265)</x:formula>
    </x:cfRule>
    <x:cfRule type="expression" dxfId="433" priority="208">
      <x:formula>F262&lt;&gt;MAX(F$262:F$265)</x:formula>
    </x:cfRule>
  </x:conditionalFormatting>
  <x:conditionalFormatting sqref="G262:G265">
    <x:cfRule type="expression" dxfId="434" priority="209">
      <x:formula>G262=MAX(G$262:G$265)</x:formula>
    </x:cfRule>
    <x:cfRule type="expression" dxfId="435" priority="210">
      <x:formula>G262&lt;&gt;MAX(G$262:G$265)</x:formula>
    </x:cfRule>
  </x:conditionalFormatting>
  <x:conditionalFormatting sqref="H262:H265">
    <x:cfRule type="expression" dxfId="436" priority="211">
      <x:formula>H262=MAX(H$262:H$265)</x:formula>
    </x:cfRule>
    <x:cfRule type="expression" dxfId="437" priority="212">
      <x:formula>H262&lt;&gt;MAX(H$262:H$265)</x:formula>
    </x:cfRule>
  </x:conditionalFormatting>
  <x:conditionalFormatting sqref="I262:I265">
    <x:cfRule type="expression" dxfId="438" priority="213">
      <x:formula>I262=MAX(I$262:I$265)</x:formula>
    </x:cfRule>
    <x:cfRule type="expression" dxfId="439" priority="214">
      <x:formula>I262&lt;&gt;MAX(I$262:I$265)</x:formula>
    </x:cfRule>
  </x:conditionalFormatting>
  <x:conditionalFormatting sqref="D272:D275">
    <x:cfRule type="expression" dxfId="440" priority="215">
      <x:formula>D272=MAX(D$272:D$275)</x:formula>
    </x:cfRule>
    <x:cfRule type="expression" dxfId="441" priority="216">
      <x:formula>D272&lt;&gt;MAX(D$272:D$275)</x:formula>
    </x:cfRule>
  </x:conditionalFormatting>
  <x:conditionalFormatting sqref="E272:E275">
    <x:cfRule type="expression" dxfId="442" priority="217">
      <x:formula>E272=MAX(E$272:E$275)</x:formula>
    </x:cfRule>
    <x:cfRule type="expression" dxfId="443" priority="218">
      <x:formula>E272&lt;&gt;MAX(E$272:E$275)</x:formula>
    </x:cfRule>
  </x:conditionalFormatting>
  <x:conditionalFormatting sqref="F272:F275">
    <x:cfRule type="expression" dxfId="444" priority="219">
      <x:formula>F272=MAX(F$272:F$275)</x:formula>
    </x:cfRule>
    <x:cfRule type="expression" dxfId="445" priority="220">
      <x:formula>F272&lt;&gt;MAX(F$272:F$275)</x:formula>
    </x:cfRule>
  </x:conditionalFormatting>
  <x:conditionalFormatting sqref="G272:G275">
    <x:cfRule type="expression" dxfId="446" priority="221">
      <x:formula>G272=MAX(G$272:G$275)</x:formula>
    </x:cfRule>
    <x:cfRule type="expression" dxfId="447" priority="222">
      <x:formula>G272&lt;&gt;MAX(G$272:G$275)</x:formula>
    </x:cfRule>
  </x:conditionalFormatting>
  <x:conditionalFormatting sqref="H272:H275">
    <x:cfRule type="expression" dxfId="448" priority="223">
      <x:formula>H272=MAX(H$272:H$275)</x:formula>
    </x:cfRule>
    <x:cfRule type="expression" dxfId="449" priority="224">
      <x:formula>H272&lt;&gt;MAX(H$272:H$275)</x:formula>
    </x:cfRule>
  </x:conditionalFormatting>
  <x:conditionalFormatting sqref="I272:I275">
    <x:cfRule type="expression" dxfId="450" priority="225">
      <x:formula>I272=MAX(I$272:I$275)</x:formula>
    </x:cfRule>
    <x:cfRule type="expression" dxfId="451" priority="226">
      <x:formula>I272&lt;&gt;MAX(I$272:I$275)</x:formula>
    </x:cfRule>
  </x:conditionalFormatting>
  <x:pageMargins left="0.7" right="0.7" top="0.75" bottom="0.75" header="0.3" footer="0.3"/>
</x:worksheet>
</file>