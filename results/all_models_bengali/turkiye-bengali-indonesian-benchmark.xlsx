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835c3287e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rkiye" sheetId="1" r:id="R286e00305f654c6e"/>
    <x:sheet xmlns:r="http://schemas.openxmlformats.org/officeDocument/2006/relationships" name="Indonesian" sheetId="2" r:id="R77ad278fe1c94e75"/>
    <x:sheet xmlns:r="http://schemas.openxmlformats.org/officeDocument/2006/relationships" name="Combined" sheetId="3" r:id="Rb7191750da434d1a"/>
    <x:sheet xmlns:r="http://schemas.openxmlformats.org/officeDocument/2006/relationships" name="Bengali" sheetId="4" r:id="Rf57f76ffbe97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E+00"/>
    <x:numFmt numFmtId="202" formatCode="#,##0"/>
    <x:numFmt numFmtId="203" formatCode="General"/>
  </x:numFmts>
  <x:fonts count="17">
    <x:font>
      <x:sz val="11"/>
      <x:name val="Carlito"/>
    </x:font>
    <x:font>
      <x:sz val="13"/>
      <x:color rgb="FF111111"/>
      <x:name val="Times New Roman"/>
    </x:font>
    <x:font>
      <x:b/>
      <x:sz val="14"/>
      <x:color rgb="FF08789A"/>
      <x:name val="Arial"/>
    </x:font>
    <x:font>
      <x:b/>
      <x:sz val="14"/>
      <x:color rgb="FF000000"/>
      <x:name val="Arial"/>
    </x:font>
    <x:font>
      <x:sz val="11"/>
      <x:color rgb="FF444444"/>
      <x:name val="Times New Roman"/>
    </x:font>
    <x:font>
      <x:b/>
      <x:sz val="13"/>
      <x:color rgb="FF000000"/>
      <x:name val="Times New Roman"/>
    </x:font>
    <x:font>
      <x:sz val="13"/>
      <x:color rgb="FF111111"/>
      <x:name val="Times New Roman"/>
    </x:font>
    <x:font>
      <x:b/>
      <x:sz val="13"/>
      <x:color rgb="FF111111"/>
      <x:name val="Times New Roman"/>
    </x:font>
    <x:font>
      <x:sz val="13"/>
      <x:color rgb="FF111111"/>
      <x:name val="Times New Roman"/>
    </x:font>
    <x:font>
      <x:sz val="11"/>
      <x:name val="Carlito"/>
    </x:font>
    <x:font>
      <x:sz val="13"/>
      <x:color rgb="FF111111"/>
      <x:name val="Times New Roman"/>
    </x:font>
    <x:font>
      <x:b/>
      <x:sz val="14"/>
      <x:color rgb="FF08789A"/>
      <x:name val="Arial"/>
    </x:font>
    <x:font>
      <x:b/>
      <x:sz val="14"/>
      <x:color rgb="FF000000"/>
      <x:name val="Arial"/>
    </x:font>
    <x:font>
      <x:sz val="11"/>
      <x:color rgb="FF444444"/>
      <x:name val="Times New Roman"/>
    </x:font>
    <x:font>
      <x:b/>
      <x:sz val="13"/>
      <x:color rgb="FF000000"/>
      <x:name val="Times New Roman"/>
    </x:font>
    <x:font>
      <x:b/>
      <x:sz val="13"/>
      <x:color rgb="FF111111"/>
      <x:name val="Times New Roman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4">
    <x:border/>
    <x:border>
      <x:top style="thin">
        <x:color rgb="FF111111"/>
      </x:top>
      <x:bottom style="thin">
        <x:color rgb="FF111111"/>
      </x:bottom>
    </x:border>
    <x:border>
      <x:bottom style="thin">
        <x:color rgb="FF111111"/>
      </x:bottom>
    </x:border>
    <x:border>
      <x:top style="hair">
        <x:color rgb="FFA0A0A0"/>
      </x:top>
    </x:border>
  </x:borders>
  <x:cellStyleXfs count="1">
    <x:xf numFmtId="0" fontId="0" fillId="0" borderId="0"/>
  </x:cellStyleXfs>
  <x:cellXfs count="1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1" fillId="2" borderId="2" xfId="0" applyNumberFormat="1" applyFont="1" applyFill="1" applyBorder="1" applyAlignment="1">
      <x:alignment horizontal="right" vertical="center"/>
    </x:xf>
    <x:xf numFmtId="200" fontId="6" fillId="2" borderId="0" xfId="0" applyNumberFormat="1" applyFont="1" applyFill="1" applyBorder="1" applyAlignment="1">
      <x:alignment horizontal="right" vertical="center"/>
    </x:xf>
    <x:xf numFmtId="200" fontId="7" fillId="2" borderId="0" xfId="0" applyNumberFormat="1" applyFont="1" applyFill="1" applyBorder="1" applyAlignment="1">
      <x:alignment horizontal="right" vertical="center"/>
    </x:xf>
    <x:xf numFmtId="200" fontId="6" fillId="2" borderId="2" xfId="0" applyNumberFormat="1" applyFont="1" applyFill="1" applyBorder="1" applyAlignment="1">
      <x:alignment horizontal="right" vertical="center"/>
    </x:xf>
    <x:xf numFmtId="200" fontId="7" fillId="2" borderId="2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1" fillId="2" borderId="2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2" fontId="1" fillId="2" borderId="2" xfId="0" applyNumberFormat="1" applyFont="1" applyFill="1" applyBorder="1" applyAlignment="1">
      <x:alignment horizontal="righ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right" vertical="center"/>
    </x:xf>
    <x:xf numFmtId="200" fontId="1" fillId="2" borderId="3" xfId="0" applyNumberFormat="1" applyFont="1" applyFill="1" applyBorder="1" applyAlignment="1">
      <x:alignment horizontal="right" vertical="center"/>
    </x:xf>
    <x:xf numFmtId="200" fontId="6" fillId="2" borderId="3" xfId="0" applyNumberFormat="1" applyFont="1" applyFill="1" applyBorder="1" applyAlignment="1">
      <x:alignment horizontal="right" vertical="center"/>
    </x:xf>
    <x:xf numFmtId="200" fontId="7" fillId="2" borderId="3" xfId="0" applyNumberFormat="1" applyFont="1" applyFill="1" applyBorder="1" applyAlignment="1">
      <x:alignment horizontal="right" vertical="center"/>
    </x:xf>
    <x:xf numFmtId="201" fontId="1" fillId="2" borderId="3" xfId="0" applyNumberFormat="1" applyFont="1" applyFill="1" applyBorder="1" applyAlignment="1">
      <x:alignment horizontal="right" vertical="center"/>
    </x:xf>
    <x:xf numFmtId="202" fontId="1" fillId="2" borderId="3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horizontal="left" vertical="center"/>
    </x:xf>
    <x:xf numFmtId="200" fontId="1" fillId="3" borderId="2" xfId="0" applyNumberFormat="1" applyFont="1" applyFill="1" applyBorder="1" applyAlignment="1">
      <x:alignment horizontal="right" vertical="center"/>
    </x:xf>
    <x:xf numFmtId="200" fontId="8" fillId="3" borderId="0" xfId="0" applyNumberFormat="1" applyFont="1" applyFill="1" applyBorder="1" applyAlignment="1">
      <x:alignment horizontal="right" vertical="center"/>
    </x:xf>
    <x:xf numFmtId="200" fontId="7" fillId="3" borderId="2" xfId="0" applyNumberFormat="1" applyFont="1" applyFill="1" applyBorder="1" applyAlignment="1">
      <x:alignment horizontal="right" vertical="center"/>
    </x:xf>
    <x:xf numFmtId="200" fontId="7" fillId="3" borderId="0" xfId="0" applyNumberFormat="1" applyFont="1" applyFill="1" applyBorder="1" applyAlignment="1">
      <x:alignment horizontal="right" vertical="center"/>
    </x:xf>
    <x:xf numFmtId="200" fontId="8" fillId="3" borderId="2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2" fontId="1" fillId="3" borderId="2" xfId="0" applyNumberFormat="1" applyFont="1" applyFill="1" applyBorder="1" applyAlignment="1">
      <x:alignment horizontal="right" vertical="center"/>
    </x:xf>
    <x:xf numFmtId="0" fontId="1" fillId="3" borderId="3" xfId="0" applyNumberFormat="1" applyFont="1" applyFill="1" applyBorder="1" applyAlignment="1">
      <x:alignment horizontal="left" vertical="center"/>
    </x:xf>
    <x:xf numFmtId="200" fontId="1" fillId="3" borderId="3" xfId="0" applyNumberFormat="1" applyFont="1" applyFill="1" applyBorder="1" applyAlignment="1">
      <x:alignment horizontal="right" vertical="center"/>
    </x:xf>
    <x:xf numFmtId="200" fontId="8" fillId="3" borderId="3" xfId="0" applyNumberFormat="1" applyFont="1" applyFill="1" applyBorder="1" applyAlignment="1">
      <x:alignment horizontal="right" vertical="center"/>
    </x:xf>
    <x:xf numFmtId="200" fontId="7" fillId="3" borderId="3" xfId="0" applyNumberFormat="1" applyFont="1" applyFill="1" applyBorder="1" applyAlignment="1">
      <x:alignment horizontal="right" vertical="center"/>
    </x:xf>
    <x:xf numFmtId="202" fontId="1" fillId="3" borderId="3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203" fontId="10" fillId="4" borderId="0" xfId="0" applyNumberFormat="1" applyFont="1" applyFill="1" applyBorder="1"/>
    <x:xf numFmtId="203" fontId="10" fillId="4" borderId="0" xfId="0" applyNumberFormat="1" applyFont="1" applyFill="1" applyBorder="1" applyAlignment="1">
      <x:alignment wrapText="0"/>
    </x:xf>
    <x:xf numFmtId="203" fontId="10" fillId="4" borderId="0" xfId="0" applyNumberFormat="1" applyFont="1" applyFill="1" applyBorder="1" applyAlignment="1">
      <x:alignment horizontal="general" wrapText="0"/>
    </x:xf>
    <x:xf numFmtId="203" fontId="10" fillId="4" borderId="0" xfId="0" applyNumberFormat="1" applyFont="1" applyFill="1" applyBorder="1" applyAlignment="1">
      <x:alignment horizontal="general" vertical="center" wrapText="0"/>
    </x:xf>
    <x:xf numFmtId="0" fontId="11" fillId="4" borderId="0" xfId="0" applyNumberFormat="1" applyFont="1" applyFill="1" applyBorder="1"/>
    <x:xf numFmtId="203" fontId="11" fillId="4" borderId="0" xfId="0" applyNumberFormat="1" applyFont="1" applyFill="1" applyBorder="1"/>
    <x:xf numFmtId="203" fontId="11" fillId="4" borderId="0" xfId="0" applyNumberFormat="1" applyFont="1" applyFill="1" applyBorder="1" applyAlignment="1">
      <x:alignment wrapText="0"/>
    </x:xf>
    <x:xf numFmtId="203" fontId="11" fillId="4" borderId="0" xfId="0" applyNumberFormat="1" applyFont="1" applyFill="1" applyBorder="1" applyAlignment="1">
      <x:alignment horizontal="general" wrapText="0"/>
    </x:xf>
    <x:xf numFmtId="203" fontId="11" fillId="4" borderId="0" xfId="0" applyNumberFormat="1" applyFont="1" applyFill="1" applyBorder="1" applyAlignment="1">
      <x:alignment horizontal="general" vertical="center" wrapText="0"/>
    </x:xf>
    <x:xf numFmtId="0" fontId="12" fillId="4" borderId="0" xfId="0" applyNumberFormat="1" applyFont="1" applyFill="1" applyBorder="1"/>
    <x:xf numFmtId="203" fontId="12" fillId="4" borderId="0" xfId="0" applyNumberFormat="1" applyFont="1" applyFill="1" applyBorder="1"/>
    <x:xf numFmtId="203" fontId="12" fillId="4" borderId="0" xfId="0" applyNumberFormat="1" applyFont="1" applyFill="1" applyBorder="1" applyAlignment="1">
      <x:alignment wrapText="0"/>
    </x:xf>
    <x:xf numFmtId="203" fontId="12" fillId="4" borderId="0" xfId="0" applyNumberFormat="1" applyFont="1" applyFill="1" applyBorder="1" applyAlignment="1">
      <x:alignment horizontal="general" wrapText="0"/>
    </x:xf>
    <x:xf numFmtId="203" fontId="12" fillId="4" borderId="0" xfId="0" applyNumberFormat="1" applyFont="1" applyFill="1" applyBorder="1" applyAlignment="1">
      <x:alignment horizontal="general" vertical="center" wrapText="0"/>
    </x:xf>
    <x:xf numFmtId="0" fontId="13" fillId="4" borderId="0" xfId="0" applyNumberFormat="1" applyFont="1" applyFill="1" applyBorder="1"/>
    <x:xf numFmtId="203" fontId="13" fillId="4" borderId="0" xfId="0" applyNumberFormat="1" applyFont="1" applyFill="1" applyBorder="1"/>
    <x:xf numFmtId="203" fontId="13" fillId="4" borderId="0" xfId="0" applyNumberFormat="1" applyFont="1" applyFill="1" applyBorder="1" applyAlignment="1">
      <x:alignment wrapText="0"/>
    </x:xf>
    <x:xf numFmtId="203" fontId="13" fillId="4" borderId="0" xfId="0" applyNumberFormat="1" applyFont="1" applyFill="1" applyBorder="1" applyAlignment="1">
      <x:alignment horizontal="general" wrapText="0"/>
    </x:xf>
    <x:xf numFmtId="203" fontId="13" fillId="4" borderId="0" xfId="0" applyNumberFormat="1" applyFont="1" applyFill="1" applyBorder="1" applyAlignment="1">
      <x:alignment horizontal="general" vertical="center" wrapText="0"/>
    </x:xf>
    <x:xf numFmtId="0" fontId="14" fillId="4" borderId="0" xfId="0" applyNumberFormat="1" applyFont="1" applyFill="1" applyBorder="1"/>
    <x:xf numFmtId="0" fontId="14" fillId="4" borderId="1" xfId="0" applyNumberFormat="1" applyFont="1" applyFill="1" applyBorder="1"/>
    <x:xf numFmtId="203" fontId="14" fillId="4" borderId="1" xfId="0" applyNumberFormat="1" applyFont="1" applyFill="1" applyBorder="1"/>
    <x:xf numFmtId="203" fontId="14" fillId="4" borderId="1" xfId="0" applyNumberFormat="1" applyFont="1" applyFill="1" applyBorder="1" applyAlignment="1">
      <x:alignment wrapText="1"/>
    </x:xf>
    <x:xf numFmtId="203" fontId="14" fillId="4" borderId="1" xfId="0" applyNumberFormat="1" applyFont="1" applyFill="1" applyBorder="1" applyAlignment="1">
      <x:alignment horizontal="left" wrapText="1"/>
    </x:xf>
    <x:xf numFmtId="203" fontId="14" fillId="4" borderId="1" xfId="0" applyNumberFormat="1" applyFont="1" applyFill="1" applyBorder="1" applyAlignment="1">
      <x:alignment horizontal="left" vertical="center" wrapText="1"/>
    </x:xf>
    <x:xf numFmtId="203" fontId="14" fillId="4" borderId="1" xfId="0" applyNumberFormat="1" applyFont="1" applyFill="1" applyBorder="1" applyAlignment="1">
      <x:alignment horizontal="center" wrapText="1"/>
    </x:xf>
    <x:xf numFmtId="203" fontId="14" fillId="4" borderId="1" xfId="0" applyNumberFormat="1" applyFont="1" applyFill="1" applyBorder="1" applyAlignment="1">
      <x:alignment horizontal="center" vertical="center" wrapText="1"/>
    </x:xf>
    <x:xf numFmtId="203" fontId="10" fillId="4" borderId="0" xfId="0" applyNumberFormat="1" applyFont="1" applyFill="1" applyBorder="1" applyAlignment="1">
      <x:alignment horizontal="left" wrapText="0"/>
    </x:xf>
    <x:xf numFmtId="203" fontId="10" fillId="4" borderId="0" xfId="0" applyNumberFormat="1" applyFont="1" applyFill="1" applyBorder="1" applyAlignment="1">
      <x:alignment horizontal="left" vertical="center" wrapText="0"/>
    </x:xf>
    <x:xf numFmtId="0" fontId="9" fillId="4" borderId="0" xfId="0" applyNumberFormat="1" applyFont="1" applyFill="1" applyBorder="1"/>
    <x:xf numFmtId="200" fontId="10" fillId="4" borderId="0" xfId="0" applyNumberFormat="1" applyFont="1" applyFill="1" applyBorder="1"/>
    <x:xf numFmtId="200" fontId="10" fillId="4" borderId="0" xfId="0" applyNumberFormat="1" applyFont="1" applyFill="1" applyBorder="1" applyAlignment="1">
      <x:alignment wrapText="0"/>
    </x:xf>
    <x:xf numFmtId="200" fontId="10" fillId="4" borderId="0" xfId="0" applyNumberFormat="1" applyFont="1" applyFill="1" applyBorder="1" applyAlignment="1">
      <x:alignment horizontal="right" wrapText="0"/>
    </x:xf>
    <x:xf numFmtId="200" fontId="10" fillId="4" borderId="0" xfId="0" applyNumberFormat="1" applyFont="1" applyFill="1" applyBorder="1" applyAlignment="1">
      <x:alignment horizontal="right" vertical="center" wrapText="0"/>
    </x:xf>
    <x:xf numFmtId="0" fontId="15" fillId="4" borderId="0" xfId="0" applyNumberFormat="1" applyFont="1" applyFill="1" applyBorder="1"/>
    <x:xf numFmtId="200" fontId="15" fillId="4" borderId="0" xfId="0" applyNumberFormat="1" applyFont="1" applyFill="1" applyBorder="1"/>
    <x:xf numFmtId="200" fontId="15" fillId="4" borderId="0" xfId="0" applyNumberFormat="1" applyFont="1" applyFill="1" applyBorder="1" applyAlignment="1">
      <x:alignment wrapText="0"/>
    </x:xf>
    <x:xf numFmtId="200" fontId="15" fillId="4" borderId="0" xfId="0" applyNumberFormat="1" applyFont="1" applyFill="1" applyBorder="1" applyAlignment="1">
      <x:alignment horizontal="right" wrapText="0"/>
    </x:xf>
    <x:xf numFmtId="200" fontId="15" fillId="4" borderId="0" xfId="0" applyNumberFormat="1" applyFont="1" applyFill="1" applyBorder="1" applyAlignment="1">
      <x:alignment horizontal="right" vertical="center" wrapText="0"/>
    </x:xf>
    <x:xf numFmtId="0" fontId="10" fillId="4" borderId="2" xfId="0" applyNumberFormat="1" applyFont="1" applyFill="1" applyBorder="1"/>
    <x:xf numFmtId="203" fontId="10" fillId="4" borderId="2" xfId="0" applyNumberFormat="1" applyFont="1" applyFill="1" applyBorder="1"/>
    <x:xf numFmtId="203" fontId="10" fillId="4" borderId="2" xfId="0" applyNumberFormat="1" applyFont="1" applyFill="1" applyBorder="1" applyAlignment="1">
      <x:alignment wrapText="0"/>
    </x:xf>
    <x:xf numFmtId="203" fontId="10" fillId="4" borderId="2" xfId="0" applyNumberFormat="1" applyFont="1" applyFill="1" applyBorder="1" applyAlignment="1">
      <x:alignment horizontal="left" wrapText="0"/>
    </x:xf>
    <x:xf numFmtId="203" fontId="10" fillId="4" borderId="2" xfId="0" applyNumberFormat="1" applyFont="1" applyFill="1" applyBorder="1" applyAlignment="1">
      <x:alignment horizontal="left" vertical="center" wrapText="0"/>
    </x:xf>
    <x:xf numFmtId="200" fontId="10" fillId="4" borderId="2" xfId="0" applyNumberFormat="1" applyFont="1" applyFill="1" applyBorder="1"/>
    <x:xf numFmtId="200" fontId="10" fillId="4" borderId="2" xfId="0" applyNumberFormat="1" applyFont="1" applyFill="1" applyBorder="1" applyAlignment="1">
      <x:alignment wrapText="0"/>
    </x:xf>
    <x:xf numFmtId="200" fontId="10" fillId="4" borderId="2" xfId="0" applyNumberFormat="1" applyFont="1" applyFill="1" applyBorder="1" applyAlignment="1">
      <x:alignment horizontal="right" wrapText="0"/>
    </x:xf>
    <x:xf numFmtId="200" fontId="10" fillId="4" borderId="2" xfId="0" applyNumberFormat="1" applyFont="1" applyFill="1" applyBorder="1" applyAlignment="1">
      <x:alignment horizontal="right" vertical="center" wrapText="0"/>
    </x:xf>
    <x:xf numFmtId="0" fontId="15" fillId="4" borderId="2" xfId="0" applyNumberFormat="1" applyFont="1" applyFill="1" applyBorder="1"/>
    <x:xf numFmtId="200" fontId="15" fillId="4" borderId="2" xfId="0" applyNumberFormat="1" applyFont="1" applyFill="1" applyBorder="1"/>
    <x:xf numFmtId="200" fontId="15" fillId="4" borderId="2" xfId="0" applyNumberFormat="1" applyFont="1" applyFill="1" applyBorder="1" applyAlignment="1">
      <x:alignment wrapText="0"/>
    </x:xf>
    <x:xf numFmtId="200" fontId="15" fillId="4" borderId="2" xfId="0" applyNumberFormat="1" applyFont="1" applyFill="1" applyBorder="1" applyAlignment="1">
      <x:alignment horizontal="right" wrapText="0"/>
    </x:xf>
    <x:xf numFmtId="200" fontId="15" fillId="4" borderId="2" xfId="0" applyNumberFormat="1" applyFont="1" applyFill="1" applyBorder="1" applyAlignment="1">
      <x:alignment horizontal="right" vertical="center" wrapText="0"/>
    </x:xf>
    <x:xf numFmtId="201" fontId="10" fillId="4" borderId="0" xfId="0" applyNumberFormat="1" applyFont="1" applyFill="1" applyBorder="1"/>
    <x:xf numFmtId="201" fontId="10" fillId="4" borderId="0" xfId="0" applyNumberFormat="1" applyFont="1" applyFill="1" applyBorder="1" applyAlignment="1">
      <x:alignment wrapText="0"/>
    </x:xf>
    <x:xf numFmtId="201" fontId="10" fillId="4" borderId="0" xfId="0" applyNumberFormat="1" applyFont="1" applyFill="1" applyBorder="1" applyAlignment="1">
      <x:alignment horizontal="right" wrapText="0"/>
    </x:xf>
    <x:xf numFmtId="201" fontId="10" fillId="4" borderId="0" xfId="0" applyNumberFormat="1" applyFont="1" applyFill="1" applyBorder="1" applyAlignment="1">
      <x:alignment horizontal="right" vertical="center" wrapText="0"/>
    </x:xf>
    <x:xf numFmtId="201" fontId="10" fillId="4" borderId="2" xfId="0" applyNumberFormat="1" applyFont="1" applyFill="1" applyBorder="1"/>
    <x:xf numFmtId="201" fontId="10" fillId="4" borderId="2" xfId="0" applyNumberFormat="1" applyFont="1" applyFill="1" applyBorder="1" applyAlignment="1">
      <x:alignment wrapText="0"/>
    </x:xf>
    <x:xf numFmtId="201" fontId="10" fillId="4" borderId="2" xfId="0" applyNumberFormat="1" applyFont="1" applyFill="1" applyBorder="1" applyAlignment="1">
      <x:alignment horizontal="right" wrapText="0"/>
    </x:xf>
    <x:xf numFmtId="201" fontId="10" fillId="4" borderId="2" xfId="0" applyNumberFormat="1" applyFont="1" applyFill="1" applyBorder="1" applyAlignment="1">
      <x:alignment horizontal="right" vertical="center" wrapText="0"/>
    </x:xf>
    <x:xf numFmtId="202" fontId="10" fillId="4" borderId="0" xfId="0" applyNumberFormat="1" applyFont="1" applyFill="1" applyBorder="1"/>
    <x:xf numFmtId="202" fontId="10" fillId="4" borderId="0" xfId="0" applyNumberFormat="1" applyFont="1" applyFill="1" applyBorder="1" applyAlignment="1">
      <x:alignment wrapText="0"/>
    </x:xf>
    <x:xf numFmtId="202" fontId="10" fillId="4" borderId="0" xfId="0" applyNumberFormat="1" applyFont="1" applyFill="1" applyBorder="1" applyAlignment="1">
      <x:alignment horizontal="right" wrapText="0"/>
    </x:xf>
    <x:xf numFmtId="202" fontId="10" fillId="4" borderId="0" xfId="0" applyNumberFormat="1" applyFont="1" applyFill="1" applyBorder="1" applyAlignment="1">
      <x:alignment horizontal="right" vertical="center" wrapText="0"/>
    </x:xf>
    <x:xf numFmtId="202" fontId="10" fillId="4" borderId="2" xfId="0" applyNumberFormat="1" applyFont="1" applyFill="1" applyBorder="1"/>
    <x:xf numFmtId="202" fontId="10" fillId="4" borderId="2" xfId="0" applyNumberFormat="1" applyFont="1" applyFill="1" applyBorder="1" applyAlignment="1">
      <x:alignment wrapText="0"/>
    </x:xf>
    <x:xf numFmtId="202" fontId="10" fillId="4" borderId="2" xfId="0" applyNumberFormat="1" applyFont="1" applyFill="1" applyBorder="1" applyAlignment="1">
      <x:alignment horizontal="right" wrapText="0"/>
    </x:xf>
    <x:xf numFmtId="202" fontId="10" fillId="4" borderId="2" xfId="0" applyNumberFormat="1" applyFont="1" applyFill="1" applyBorder="1" applyAlignment="1">
      <x:alignment horizontal="right" vertical="center" wrapText="0"/>
    </x:xf>
    <x:xf numFmtId="0" fontId="0" fillId="4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wrapText="1"/>
    </x:xf>
    <x:xf numFmtId="203" fontId="13" fillId="4" borderId="0" xfId="0" applyNumberFormat="1" applyFont="1" applyFill="1" applyBorder="1" applyAlignment="1">
      <x:alignment wrapText="1"/>
    </x:xf>
    <x:xf numFmtId="0" fontId="10" fillId="4" borderId="3" xfId="0" applyNumberFormat="1" applyFont="1" applyFill="1" applyBorder="1"/>
    <x:xf numFmtId="203" fontId="10" fillId="4" borderId="3" xfId="0" applyNumberFormat="1" applyFont="1" applyFill="1" applyBorder="1"/>
    <x:xf numFmtId="203" fontId="10" fillId="4" borderId="3" xfId="0" applyNumberFormat="1" applyFont="1" applyFill="1" applyBorder="1" applyAlignment="1">
      <x:alignment wrapText="0"/>
    </x:xf>
    <x:xf numFmtId="203" fontId="10" fillId="4" borderId="3" xfId="0" applyNumberFormat="1" applyFont="1" applyFill="1" applyBorder="1" applyAlignment="1">
      <x:alignment horizontal="left" wrapText="0"/>
    </x:xf>
    <x:xf numFmtId="203" fontId="10" fillId="4" borderId="3" xfId="0" applyNumberFormat="1" applyFont="1" applyFill="1" applyBorder="1" applyAlignment="1">
      <x:alignment horizontal="left" vertical="center" wrapText="0"/>
    </x:xf>
    <x:xf numFmtId="200" fontId="10" fillId="4" borderId="3" xfId="0" applyNumberFormat="1" applyFont="1" applyFill="1" applyBorder="1"/>
    <x:xf numFmtId="200" fontId="10" fillId="4" borderId="3" xfId="0" applyNumberFormat="1" applyFont="1" applyFill="1" applyBorder="1" applyAlignment="1">
      <x:alignment wrapText="0"/>
    </x:xf>
    <x:xf numFmtId="200" fontId="10" fillId="4" borderId="3" xfId="0" applyNumberFormat="1" applyFont="1" applyFill="1" applyBorder="1" applyAlignment="1">
      <x:alignment horizontal="right" wrapText="0"/>
    </x:xf>
    <x:xf numFmtId="200" fontId="10" fillId="4" borderId="3" xfId="0" applyNumberFormat="1" applyFont="1" applyFill="1" applyBorder="1" applyAlignment="1">
      <x:alignment horizontal="right" vertical="center" wrapText="0"/>
    </x:xf>
    <x:xf numFmtId="0" fontId="15" fillId="4" borderId="3" xfId="0" applyNumberFormat="1" applyFont="1" applyFill="1" applyBorder="1"/>
    <x:xf numFmtId="200" fontId="15" fillId="4" borderId="3" xfId="0" applyNumberFormat="1" applyFont="1" applyFill="1" applyBorder="1"/>
    <x:xf numFmtId="200" fontId="15" fillId="4" borderId="3" xfId="0" applyNumberFormat="1" applyFont="1" applyFill="1" applyBorder="1" applyAlignment="1">
      <x:alignment wrapText="0"/>
    </x:xf>
    <x:xf numFmtId="200" fontId="15" fillId="4" borderId="3" xfId="0" applyNumberFormat="1" applyFont="1" applyFill="1" applyBorder="1" applyAlignment="1">
      <x:alignment horizontal="right" wrapText="0"/>
    </x:xf>
    <x:xf numFmtId="200" fontId="15" fillId="4" borderId="3" xfId="0" applyNumberFormat="1" applyFont="1" applyFill="1" applyBorder="1" applyAlignment="1">
      <x:alignment horizontal="right" vertical="center" wrapText="0"/>
    </x:xf>
    <x:xf numFmtId="201" fontId="10" fillId="4" borderId="3" xfId="0" applyNumberFormat="1" applyFont="1" applyFill="1" applyBorder="1"/>
    <x:xf numFmtId="201" fontId="10" fillId="4" borderId="3" xfId="0" applyNumberFormat="1" applyFont="1" applyFill="1" applyBorder="1" applyAlignment="1">
      <x:alignment wrapText="0"/>
    </x:xf>
    <x:xf numFmtId="201" fontId="10" fillId="4" borderId="3" xfId="0" applyNumberFormat="1" applyFont="1" applyFill="1" applyBorder="1" applyAlignment="1">
      <x:alignment horizontal="right" wrapText="0"/>
    </x:xf>
    <x:xf numFmtId="201" fontId="10" fillId="4" borderId="3" xfId="0" applyNumberFormat="1" applyFont="1" applyFill="1" applyBorder="1" applyAlignment="1">
      <x:alignment horizontal="right" vertical="center" wrapText="0"/>
    </x:xf>
    <x:xf numFmtId="202" fontId="10" fillId="4" borderId="3" xfId="0" applyNumberFormat="1" applyFont="1" applyFill="1" applyBorder="1"/>
    <x:xf numFmtId="202" fontId="10" fillId="4" borderId="3" xfId="0" applyNumberFormat="1" applyFont="1" applyFill="1" applyBorder="1" applyAlignment="1">
      <x:alignment wrapText="0"/>
    </x:xf>
    <x:xf numFmtId="202" fontId="10" fillId="4" borderId="3" xfId="0" applyNumberFormat="1" applyFont="1" applyFill="1" applyBorder="1" applyAlignment="1">
      <x:alignment horizontal="right" wrapText="0"/>
    </x:xf>
    <x:xf numFmtId="202" fontId="10" fillId="4" borderId="3" xfId="0" applyNumberFormat="1" applyFont="1" applyFill="1" applyBorder="1" applyAlignment="1">
      <x:alignment horizontal="right" vertical="center" wrapText="0"/>
    </x:xf>
    <x:xf numFmtId="0" fontId="16" fillId="0" borderId="0" xfId="0" applyNumberFormat="1" applyFont="1" applyFill="1" applyBorder="1"/>
    <x:xf numFmtId="203" fontId="16" fillId="0" borderId="0" xfId="0" applyNumberFormat="1" applyFont="1" applyFill="1" applyBorder="1"/>
    <x:xf numFmtId="203" fontId="16" fillId="0" borderId="0" xfId="0" applyNumberFormat="1" applyFont="1" applyFill="1" applyBorder="1" applyAlignment="1">
      <x:alignment wrapText="0"/>
    </x:xf>
    <x:xf numFmtId="203" fontId="16" fillId="0" borderId="0" xfId="0" applyNumberFormat="1" applyFont="1" applyFill="1" applyBorder="1" applyAlignment="1">
      <x:alignment horizontal="general" wrapText="0"/>
    </x:xf>
    <x:xf numFmtId="203" fontId="16" fillId="0" borderId="0" xfId="0" applyNumberFormat="1" applyFont="1" applyFill="1" applyBorder="1" applyAlignment="1">
      <x:alignment horizontal="general" vertical="bottom" wrapText="0"/>
    </x:xf>
    <x:xf numFmtId="203" fontId="13" fillId="4" borderId="0" xfId="0" applyNumberFormat="1" applyFont="1" applyFill="1" applyBorder="1" applyAlignment="1">
      <x:alignment horizontal="general" vertical="center" wrapText="1"/>
    </x:xf>
  </x:cellXfs>
  <x:cellStyles count="1">
    <x:cellStyle name="Normal" xfId="0"/>
  </x:cellStyles>
  <x:dxfs count="675"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6dcfc8eb648da" /><Relationship Type="http://schemas.openxmlformats.org/officeDocument/2006/relationships/theme" Target="/xl/theme/theme1.xml" Id="Re06182d10c954c29" /><Relationship Type="http://schemas.openxmlformats.org/officeDocument/2006/relationships/sharedStrings" Target="/xl/sharedStrings.xml" Id="R89f4a6dd3d774946" /><Relationship Type="http://schemas.openxmlformats.org/officeDocument/2006/relationships/worksheet" Target="/xl/worksheets/sheet1.xml" Id="R286e00305f654c6e" /><Relationship Type="http://schemas.openxmlformats.org/officeDocument/2006/relationships/worksheet" Target="/xl/worksheets/sheet2.xml" Id="R77ad278fe1c94e75" /><Relationship Type="http://schemas.openxmlformats.org/officeDocument/2006/relationships/worksheet" Target="/xl/worksheets/sheet3.xml" Id="Rb7191750da434d1a" /><Relationship Type="http://schemas.openxmlformats.org/officeDocument/2006/relationships/worksheet" Target="/xl/worksheets/sheet4.xml" Id="Rf57f76ffbe9745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8789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.5" hidden="0" customWidth="1"/>
    <x:col min="2" max="2" width="31.25" hidden="0" customWidth="1"/>
    <x:col min="3" max="3" width="18.5" hidden="0" customWidth="1"/>
    <x:col min="4" max="4" width="18.5" hidden="0" customWidth="1"/>
    <x:col min="5" max="5" width="18.5" hidden="0" customWidth="1"/>
    <x:col min="6" max="6" width="18.5" hidden="0" customWidth="1"/>
    <x:col min="7" max="7" width="18.5" hidden="0" customWidth="1"/>
    <x:col min="8" max="8" width="18.5" hidden="0" customWidth="1"/>
    <x:col min="9" max="9" width="18.5" hidden="0" customWidth="1"/>
    <x:col min="10" max="10" width="18.5" hidden="0" customWidth="1"/>
    <x:col min="11" max="11" width="18.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9" customHeight="1">
      <x:c r="A2" s="3"/>
      <x:c r="B2" s="4" t="str">
        <x:v>TABLE 1.</x:v>
      </x:c>
      <x:c r="C2" s="5" t="str">
        <x:v>Sentiment classification performance.</x:v>
      </x:c>
      <x:c r="D2" s="5"/>
      <x:c r="E2" s="5"/>
      <x:c r="F2" s="5"/>
      <x:c r="G2" s="3"/>
      <x:c r="H2" s="3"/>
      <x:c r="I2" s="3"/>
      <x:c r="J2" s="3"/>
    </x:row>
    <x:row r="3" ht="21" customHeight="1">
      <x:c r="A3" s="3"/>
      <x:c r="B3" s="6" t="str">
        <x:v>Türkiye: sentiment_tr, n = 12,760</x:v>
      </x:c>
      <x:c r="C3" s="6"/>
      <x:c r="D3" s="6"/>
      <x:c r="E3" s="6"/>
      <x:c r="F3" s="6"/>
      <x:c r="G3" s="3"/>
      <x:c r="H3" s="3"/>
      <x:c r="I3" s="3"/>
      <x:c r="J3" s="3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42" customHeight="1">
      <x:c r="A5" s="3"/>
      <x:c r="B5" s="11" t="str">
        <x:v>Model</x:v>
      </x:c>
      <x:c r="C5" s="10" t="str">
        <x:v>Accuracy</x:v>
      </x:c>
      <x:c r="D5" s="10" t="str">
        <x:v>Balanced
Accuracy</x:v>
      </x:c>
      <x:c r="E5" s="10" t="str">
        <x:v>Macro-F1</x:v>
      </x:c>
      <x:c r="F5" s="10" t="str">
        <x:v>Weighted-F1</x:v>
      </x:c>
      <x:c r="G5" s="3"/>
      <x:c r="H5" s="3"/>
      <x:c r="I5" s="3"/>
      <x:c r="J5" s="3"/>
    </x:row>
    <x:row r="6" ht="24" customHeight="1">
      <x:c r="A6" s="3"/>
      <x:c r="B6" s="12" t="str">
        <x:v>nimble:9b</x:v>
      </x:c>
      <x:c r="C6" s="18" t="n">
        <x:v>0.7760971786833856</x:v>
      </x:c>
      <x:c r="D6" s="18" t="n">
        <x:v>0.6420444889721574</x:v>
      </x:c>
      <x:c r="E6" s="18" t="n">
        <x:v>0.6255952736069749</x:v>
      </x:c>
      <x:c r="F6" s="18" t="n">
        <x:v>0.74384902834354</x:v>
      </x:c>
      <x:c r="G6" s="3"/>
      <x:c r="H6" s="3"/>
      <x:c r="I6" s="3"/>
      <x:c r="J6" s="3"/>
    </x:row>
    <x:row r="7" ht="24" customHeight="1">
      <x:c r="A7" s="3"/>
      <x:c r="B7" s="12" t="str">
        <x:v>tev1:0.8b</x:v>
      </x:c>
      <x:c r="C7" s="18" t="n">
        <x:v>0.7296238244514106</x:v>
      </x:c>
      <x:c r="D7" s="18" t="n">
        <x:v>0.6270613295451795</x:v>
      </x:c>
      <x:c r="E7" s="18" t="n">
        <x:v>0.6082490422699799</x:v>
      </x:c>
      <x:c r="F7" s="18" t="n">
        <x:v>0.717198483896461</x:v>
      </x:c>
      <x:c r="G7" s="3"/>
      <x:c r="H7" s="3"/>
      <x:c r="I7" s="3"/>
      <x:c r="J7" s="3"/>
    </x:row>
    <x:row r="8" ht="24" customHeight="1">
      <x:c r="A8" s="3"/>
      <x:c r="B8" s="12" t="str">
        <x:v>tev1:4b</x:v>
      </x:c>
      <x:c r="C8" s="19" t="n">
        <x:v>0.7877742946708464</x:v>
      </x:c>
      <x:c r="D8" s="19" t="n">
        <x:v>0.6737569254042018</x:v>
      </x:c>
      <x:c r="E8" s="19" t="n">
        <x:v>0.6752599831550202</x:v>
      </x:c>
      <x:c r="F8" s="19" t="n">
        <x:v>0.7720257413553878</x:v>
      </x:c>
      <x:c r="G8" s="3"/>
      <x:c r="H8" s="3"/>
      <x:c r="I8" s="3"/>
      <x:c r="J8" s="3"/>
    </x:row>
    <x:row r="9" ht="24" customHeight="1">
      <x:c r="A9" s="3"/>
      <x:c r="B9" s="14" t="str">
        <x:v>typesafe/jev-1.13</x:v>
      </x:c>
      <x:c r="C9" s="20" t="n">
        <x:v>0.7746865203761756</x:v>
      </x:c>
      <x:c r="D9" s="20" t="n">
        <x:v>0.6486062757709893</x:v>
      </x:c>
      <x:c r="E9" s="20" t="n">
        <x:v>0.6120573235331662</x:v>
      </x:c>
      <x:c r="F9" s="20" t="n">
        <x:v>0.7427881772282183</x:v>
      </x:c>
      <x:c r="G9" s="3"/>
      <x:c r="H9" s="3"/>
      <x:c r="I9" s="3"/>
      <x:c r="J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</x:row>
    <x:row r="11" ht="24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29" customHeight="1">
      <x:c r="A12" s="3"/>
      <x:c r="B12" s="4" t="str">
        <x:v>TABLE 2.</x:v>
      </x:c>
      <x:c r="C12" s="5" t="str">
        <x:v>Emotion classification performance.</x:v>
      </x:c>
      <x:c r="D12" s="5"/>
      <x:c r="E12" s="5"/>
      <x:c r="F12" s="5"/>
      <x:c r="G12" s="3"/>
      <x:c r="H12" s="3"/>
      <x:c r="I12" s="3"/>
      <x:c r="J12" s="3"/>
    </x:row>
    <x:row r="13" ht="21" customHeight="1">
      <x:c r="A13" s="3"/>
      <x:c r="B13" s="6" t="str">
        <x:v>Türkiye: emotion_tr, n = 4,403</x:v>
      </x:c>
      <x:c r="C13" s="6"/>
      <x:c r="D13" s="6"/>
      <x:c r="E13" s="6"/>
      <x:c r="F13" s="6"/>
      <x:c r="G13" s="3"/>
      <x:c r="H13" s="3"/>
      <x:c r="I13" s="3"/>
      <x:c r="J13" s="3"/>
    </x:row>
    <x:row r="14" ht="9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42" customHeight="1">
      <x:c r="A15" s="3"/>
      <x:c r="B15" s="11" t="str">
        <x:v>Model</x:v>
      </x:c>
      <x:c r="C15" s="10" t="str">
        <x:v>Accuracy</x:v>
      </x:c>
      <x:c r="D15" s="10" t="str">
        <x:v>Balanced
Accuracy</x:v>
      </x:c>
      <x:c r="E15" s="10" t="str">
        <x:v>Macro-F1</x:v>
      </x:c>
      <x:c r="F15" s="10" t="str">
        <x:v>Weighted-F1</x:v>
      </x:c>
      <x:c r="G15" s="3"/>
      <x:c r="H15" s="3"/>
      <x:c r="I15" s="3"/>
      <x:c r="J15" s="3"/>
    </x:row>
    <x:row r="16" ht="24" customHeight="1">
      <x:c r="A16" s="3"/>
      <x:c r="B16" s="12" t="str">
        <x:v>nimble:9b</x:v>
      </x:c>
      <x:c r="C16" s="18" t="n">
        <x:v>0.7138314785373608</x:v>
      </x:c>
      <x:c r="D16" s="18" t="n">
        <x:v>0.7138087774294671</x:v>
      </x:c>
      <x:c r="E16" s="18" t="n">
        <x:v>0.711551551667003</x:v>
      </x:c>
      <x:c r="F16" s="18" t="n">
        <x:v>0.7115608978473723</x:v>
      </x:c>
      <x:c r="G16" s="3"/>
      <x:c r="H16" s="3"/>
      <x:c r="I16" s="3"/>
      <x:c r="J16" s="3"/>
    </x:row>
    <x:row r="17" ht="24" customHeight="1">
      <x:c r="A17" s="3"/>
      <x:c r="B17" s="12" t="str">
        <x:v>tev1:0.8b</x:v>
      </x:c>
      <x:c r="C17" s="18" t="n">
        <x:v>0.4456052691346809</x:v>
      </x:c>
      <x:c r="D17" s="18" t="n">
        <x:v>0.4455968487048342</x:v>
      </x:c>
      <x:c r="E17" s="18" t="n">
        <x:v>0.44160034561160766</x:v>
      </x:c>
      <x:c r="F17" s="18" t="n">
        <x:v>0.4415667582324577</x:v>
      </x:c>
      <x:c r="G17" s="3"/>
      <x:c r="H17" s="3"/>
      <x:c r="I17" s="3"/>
      <x:c r="J17" s="3"/>
    </x:row>
    <x:row r="18" ht="24" customHeight="1">
      <x:c r="A18" s="3"/>
      <x:c r="B18" s="12" t="str">
        <x:v>tev1:4b</x:v>
      </x:c>
      <x:c r="C18" s="18" t="n">
        <x:v>0.6625028389734272</x:v>
      </x:c>
      <x:c r="D18" s="18" t="n">
        <x:v>0.6625045372050817</x:v>
      </x:c>
      <x:c r="E18" s="18" t="n">
        <x:v>0.6579680573949642</x:v>
      </x:c>
      <x:c r="F18" s="18" t="n">
        <x:v>0.6579525205986398</x:v>
      </x:c>
      <x:c r="G18" s="3"/>
      <x:c r="H18" s="3"/>
      <x:c r="I18" s="3"/>
      <x:c r="J18" s="3"/>
    </x:row>
    <x:row r="19" ht="24" customHeight="1">
      <x:c r="A19" s="3"/>
      <x:c r="B19" s="14" t="str">
        <x:v>typesafe/jev-1.13</x:v>
      </x:c>
      <x:c r="C19" s="21" t="n">
        <x:v>0.75584828526005</x:v>
      </x:c>
      <x:c r="D19" s="21" t="n">
        <x:v>0.7558241214321069</x:v>
      </x:c>
      <x:c r="E19" s="21" t="n">
        <x:v>0.7561817543236771</x:v>
      </x:c>
      <x:c r="F19" s="21" t="n">
        <x:v>0.7561937201671698</x:v>
      </x:c>
      <x:c r="G19" s="3"/>
      <x:c r="H19" s="3"/>
      <x:c r="I19" s="3"/>
      <x:c r="J19" s="3"/>
    </x:row>
    <x:row r="20" ht="24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  <x:row r="21" ht="24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29" customHeight="1">
      <x:c r="A22" s="3"/>
      <x:c r="B22" s="4" t="str">
        <x:v>TABLE 3.</x:v>
      </x:c>
      <x:c r="C22" s="5" t="str">
        <x:v>Sentiment confidence intervals.</x:v>
      </x:c>
      <x:c r="D22" s="5"/>
      <x:c r="E22" s="5"/>
      <x:c r="F22" s="5"/>
      <x:c r="G22" s="3"/>
      <x:c r="H22" s="3"/>
      <x:c r="I22" s="3"/>
      <x:c r="J22" s="3"/>
    </x:row>
    <x:row r="23" ht="21" customHeight="1">
      <x:c r="A23" s="3"/>
      <x:c r="B23" s="6" t="str">
        <x:v>Türkiye: sentiment_tr, n = 12,760</x:v>
      </x:c>
      <x:c r="C23" s="6"/>
      <x:c r="D23" s="6"/>
      <x:c r="E23" s="6"/>
      <x:c r="F23" s="6"/>
      <x:c r="G23" s="3"/>
      <x:c r="H23" s="3"/>
      <x:c r="I23" s="3"/>
      <x:c r="J23" s="3"/>
    </x:row>
    <x:row r="24" ht="9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  <x:row r="25" ht="42" customHeight="1">
      <x:c r="A25" s="3"/>
      <x:c r="B25" s="11" t="str">
        <x:v>Model</x:v>
      </x:c>
      <x:c r="C25" s="10" t="str">
        <x:v>Accuracy
Lower</x:v>
      </x:c>
      <x:c r="D25" s="10" t="str">
        <x:v>Accuracy
Upper</x:v>
      </x:c>
      <x:c r="E25" s="10" t="str">
        <x:v>Macro-F1
Lower</x:v>
      </x:c>
      <x:c r="F25" s="10" t="str">
        <x:v>Macro-F1
Upper</x:v>
      </x:c>
      <x:c r="G25" s="3"/>
      <x:c r="H25" s="3"/>
      <x:c r="I25" s="3"/>
      <x:c r="J25" s="3"/>
    </x:row>
    <x:row r="26" ht="24" customHeight="1">
      <x:c r="A26" s="3"/>
      <x:c r="B26" s="12" t="str">
        <x:v>nimble:9b</x:v>
      </x:c>
      <x:c r="C26" s="16" t="n">
        <x:v>0.770685736677116</x:v>
      </x:c>
      <x:c r="D26" s="16" t="n">
        <x:v>0.7813479623824452</x:v>
      </x:c>
      <x:c r="E26" s="16" t="n">
        <x:v>0.6172150210693468</x:v>
      </x:c>
      <x:c r="F26" s="16" t="n">
        <x:v>0.6335706053728195</x:v>
      </x:c>
      <x:c r="G26" s="3"/>
      <x:c r="H26" s="3"/>
      <x:c r="I26" s="3"/>
      <x:c r="J26" s="3"/>
    </x:row>
    <x:row r="27" ht="24" customHeight="1">
      <x:c r="A27" s="3"/>
      <x:c r="B27" s="12" t="str">
        <x:v>tev1:0.8b</x:v>
      </x:c>
      <x:c r="C27" s="16" t="n">
        <x:v>0.7230407523510972</x:v>
      </x:c>
      <x:c r="D27" s="16" t="n">
        <x:v>0.7358934169278997</x:v>
      </x:c>
      <x:c r="E27" s="16" t="n">
        <x:v>0.599522534207368</x:v>
      </x:c>
      <x:c r="F27" s="16" t="n">
        <x:v>0.6168129747375256</x:v>
      </x:c>
      <x:c r="G27" s="3"/>
      <x:c r="H27" s="3"/>
      <x:c r="I27" s="3"/>
      <x:c r="J27" s="3"/>
    </x:row>
    <x:row r="28" ht="24" customHeight="1">
      <x:c r="A28" s="3"/>
      <x:c r="B28" s="12" t="str">
        <x:v>tev1:4b</x:v>
      </x:c>
      <x:c r="C28" s="16" t="n">
        <x:v>0.7815027429467085</x:v>
      </x:c>
      <x:c r="D28" s="16" t="n">
        <x:v>0.7933405172413793</x:v>
      </x:c>
      <x:c r="E28" s="16" t="n">
        <x:v>0.6659518960305314</x:v>
      </x:c>
      <x:c r="F28" s="16" t="n">
        <x:v>0.6843328072057725</x:v>
      </x:c>
      <x:c r="G28" s="3"/>
      <x:c r="H28" s="3"/>
      <x:c r="I28" s="3"/>
      <x:c r="J28" s="3"/>
    </x:row>
    <x:row r="29" ht="24" customHeight="1">
      <x:c r="A29" s="3"/>
      <x:c r="B29" s="14" t="str">
        <x:v>typesafe/jev-1.13</x:v>
      </x:c>
      <x:c r="C29" s="17" t="n">
        <x:v>0.7693573667711598</x:v>
      </x:c>
      <x:c r="D29" s="17" t="n">
        <x:v>0.7797805642633229</x:v>
      </x:c>
      <x:c r="E29" s="17" t="n">
        <x:v>0.6034083109370219</x:v>
      </x:c>
      <x:c r="F29" s="17" t="n">
        <x:v>0.6202707542559104</x:v>
      </x:c>
      <x:c r="G29" s="3"/>
      <x:c r="H29" s="3"/>
      <x:c r="I29" s="3"/>
      <x:c r="J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 ht="29" customHeight="1">
      <x:c r="A32" s="3"/>
      <x:c r="B32" s="4" t="str">
        <x:v>TABLE 4.</x:v>
      </x:c>
      <x:c r="C32" s="5" t="str">
        <x:v>Emotion confidence intervals.</x:v>
      </x:c>
      <x:c r="D32" s="5"/>
      <x:c r="E32" s="5"/>
      <x:c r="F32" s="5"/>
      <x:c r="G32" s="3"/>
      <x:c r="H32" s="3"/>
      <x:c r="I32" s="3"/>
      <x:c r="J32" s="3"/>
    </x:row>
    <x:row r="33" ht="21" customHeight="1">
      <x:c r="A33" s="3"/>
      <x:c r="B33" s="6" t="str">
        <x:v>Türkiye: emotion_tr, n = 4,403</x:v>
      </x:c>
      <x:c r="C33" s="6"/>
      <x:c r="D33" s="6"/>
      <x:c r="E33" s="6"/>
      <x:c r="F33" s="6"/>
      <x:c r="G33" s="3"/>
      <x:c r="H33" s="3"/>
      <x:c r="I33" s="3"/>
      <x:c r="J33" s="3"/>
    </x:row>
    <x:row r="34" ht="9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  <x:row r="35" ht="42" customHeight="1">
      <x:c r="A35" s="3"/>
      <x:c r="B35" s="11" t="str">
        <x:v>Model</x:v>
      </x:c>
      <x:c r="C35" s="10" t="str">
        <x:v>Accuracy
Lower</x:v>
      </x:c>
      <x:c r="D35" s="10" t="str">
        <x:v>Accuracy
Upper</x:v>
      </x:c>
      <x:c r="E35" s="10" t="str">
        <x:v>Macro-F1
Lower</x:v>
      </x:c>
      <x:c r="F35" s="10" t="str">
        <x:v>Macro-F1
Upper</x:v>
      </x:c>
      <x:c r="G35" s="3"/>
      <x:c r="H35" s="3"/>
      <x:c r="I35" s="3"/>
      <x:c r="J35" s="3"/>
    </x:row>
    <x:row r="36" ht="24" customHeight="1">
      <x:c r="A36" s="3"/>
      <x:c r="B36" s="12" t="str">
        <x:v>nimble:9b</x:v>
      </x:c>
      <x:c r="C36" s="16" t="n">
        <x:v>0.7006529638882579</x:v>
      </x:c>
      <x:c r="D36" s="16" t="n">
        <x:v>0.7265500794912559</x:v>
      </x:c>
      <x:c r="E36" s="16" t="n">
        <x:v>0.6980687000011012</x:v>
      </x:c>
      <x:c r="F36" s="16" t="n">
        <x:v>0.7246624847474609</x:v>
      </x:c>
      <x:c r="G36" s="3"/>
      <x:c r="H36" s="3"/>
      <x:c r="I36" s="3"/>
      <x:c r="J36" s="3"/>
    </x:row>
    <x:row r="37" ht="24" customHeight="1">
      <x:c r="A37" s="3"/>
      <x:c r="B37" s="12" t="str">
        <x:v>tev1:0.8b</x:v>
      </x:c>
      <x:c r="C37" s="16" t="n">
        <x:v>0.43265955030660913</x:v>
      </x:c>
      <x:c r="D37" s="16" t="n">
        <x:v>0.4590052237111061</x:v>
      </x:c>
      <x:c r="E37" s="16" t="n">
        <x:v>0.4273256718900786</x:v>
      </x:c>
      <x:c r="F37" s="16" t="n">
        <x:v>0.45540126068180886</x:v>
      </x:c>
      <x:c r="G37" s="3"/>
      <x:c r="H37" s="3"/>
      <x:c r="I37" s="3"/>
      <x:c r="J37" s="3"/>
    </x:row>
    <x:row r="38" ht="24" customHeight="1">
      <x:c r="A38" s="3"/>
      <x:c r="B38" s="12" t="str">
        <x:v>tev1:4b</x:v>
      </x:c>
      <x:c r="C38" s="16" t="n">
        <x:v>0.6495571201453555</x:v>
      </x:c>
      <x:c r="D38" s="16" t="n">
        <x:v>0.6756756756756757</x:v>
      </x:c>
      <x:c r="E38" s="16" t="n">
        <x:v>0.6445261665880212</x:v>
      </x:c>
      <x:c r="F38" s="16" t="n">
        <x:v>0.6709989772261676</x:v>
      </x:c>
      <x:c r="G38" s="3"/>
      <x:c r="H38" s="3"/>
      <x:c r="I38" s="3"/>
      <x:c r="J38" s="3"/>
    </x:row>
    <x:row r="39" ht="24" customHeight="1">
      <x:c r="A39" s="3"/>
      <x:c r="B39" s="14" t="str">
        <x:v>typesafe/jev-1.13</x:v>
      </x:c>
      <x:c r="C39" s="17" t="n">
        <x:v>0.7422155348625936</x:v>
      </x:c>
      <x:c r="D39" s="17" t="n">
        <x:v>0.7676584147172383</x:v>
      </x:c>
      <x:c r="E39" s="17" t="n">
        <x:v>0.7421672060650313</x:v>
      </x:c>
      <x:c r="F39" s="17" t="n">
        <x:v>0.767915349264944</x:v>
      </x:c>
      <x:c r="G39" s="3"/>
      <x:c r="H39" s="3"/>
      <x:c r="I39" s="3"/>
      <x:c r="J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 ht="24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  <x:row r="42" ht="29" customHeight="1">
      <x:c r="A42" s="3"/>
      <x:c r="B42" s="4" t="str">
        <x:v>TABLE 5.</x:v>
      </x:c>
      <x:c r="C42" s="5" t="str">
        <x:v>Sentiment probability and calibration.</x:v>
      </x:c>
      <x:c r="D42" s="5"/>
      <x:c r="E42" s="5"/>
      <x:c r="F42" s="5"/>
      <x:c r="G42" s="5"/>
      <x:c r="H42" s="3"/>
      <x:c r="I42" s="3"/>
      <x:c r="J42" s="3"/>
    </x:row>
    <x:row r="43" ht="21" customHeight="1">
      <x:c r="A43" s="3"/>
      <x:c r="B43" s="6" t="str">
        <x:v>Türkiye: sentiment_tr, n = 12,760</x:v>
      </x:c>
      <x:c r="C43" s="6"/>
      <x:c r="D43" s="6"/>
      <x:c r="E43" s="6"/>
      <x:c r="F43" s="6"/>
      <x:c r="G43" s="6"/>
      <x:c r="H43" s="3"/>
      <x:c r="I43" s="3"/>
      <x:c r="J43" s="3"/>
    </x:row>
    <x:row r="44" ht="9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</x:row>
    <x:row r="45" ht="42" customHeight="1">
      <x:c r="A45" s="3"/>
      <x:c r="B45" s="11" t="str">
        <x:v>Model</x:v>
      </x:c>
      <x:c r="C45" s="10" t="str">
        <x:v>Log Loss</x:v>
      </x:c>
      <x:c r="D45" s="10" t="str">
        <x:v>Multiclass
Brier</x:v>
      </x:c>
      <x:c r="E45" s="10" t="str">
        <x:v>ECE</x:v>
      </x:c>
      <x:c r="F45" s="10" t="str">
        <x:v>Probability
Coverage</x:v>
      </x:c>
      <x:c r="G45" s="10" t="str">
        <x:v>Max. Probability
Sum Error</x:v>
      </x:c>
      <x:c r="H45" s="3"/>
      <x:c r="I45" s="3"/>
      <x:c r="J45" s="3"/>
    </x:row>
    <x:row r="46" ht="24" customHeight="1">
      <x:c r="A46" s="3"/>
      <x:c r="B46" s="12" t="str">
        <x:v>nimble:9b</x:v>
      </x:c>
      <x:c r="C46" s="18" t="n">
        <x:v>0.761947937878951</x:v>
      </x:c>
      <x:c r="D46" s="18" t="n">
        <x:v>0.35801805200552733</x:v>
      </x:c>
      <x:c r="E46" s="18" t="n">
        <x:v>0.14072258433503737</x:v>
      </x:c>
      <x:c r="F46" s="19" t="n">
        <x:v>1</x:v>
      </x:c>
      <x:c r="G46" s="22" t="n">
        <x:v>3.3306690738754696e-16</x:v>
      </x:c>
      <x:c r="H46" s="3"/>
      <x:c r="I46" s="3"/>
      <x:c r="J46" s="3"/>
    </x:row>
    <x:row r="47" ht="24" customHeight="1">
      <x:c r="A47" s="3"/>
      <x:c r="B47" s="12" t="str">
        <x:v>tev1:0.8b</x:v>
      </x:c>
      <x:c r="C47" s="18" t="n">
        <x:v>0.677999424567297</x:v>
      </x:c>
      <x:c r="D47" s="18" t="n">
        <x:v>0.3735212024177501</x:v>
      </x:c>
      <x:c r="E47" s="18" t="n">
        <x:v>0.06740689185815842</x:v>
      </x:c>
      <x:c r="F47" s="19" t="n">
        <x:v>1</x:v>
      </x:c>
      <x:c r="G47" s="22" t="n">
        <x:v>3.3306690738754696e-16</x:v>
      </x:c>
      <x:c r="H47" s="3"/>
      <x:c r="I47" s="3"/>
      <x:c r="J47" s="3"/>
    </x:row>
    <x:row r="48" ht="24" customHeight="1">
      <x:c r="A48" s="3"/>
      <x:c r="B48" s="12" t="str">
        <x:v>tev1:4b</x:v>
      </x:c>
      <x:c r="C48" s="19" t="n">
        <x:v>0.5445676041629279</x:v>
      </x:c>
      <x:c r="D48" s="19" t="n">
        <x:v>0.29825601668910384</x:v>
      </x:c>
      <x:c r="E48" s="19" t="n">
        <x:v>0.050548261535839564</x:v>
      </x:c>
      <x:c r="F48" s="19" t="n">
        <x:v>1</x:v>
      </x:c>
      <x:c r="G48" s="22" t="n">
        <x:v>3.3306690738754696e-16</x:v>
      </x:c>
      <x:c r="H48" s="3"/>
      <x:c r="I48" s="3"/>
      <x:c r="J48" s="3"/>
    </x:row>
    <x:row r="49" ht="24" customHeight="1">
      <x:c r="A49" s="3"/>
      <x:c r="B49" s="14" t="str">
        <x:v>typesafe/jev-1.13</x:v>
      </x:c>
      <x:c r="C49" s="20" t="n">
        <x:v>2.1904085598807197</x:v>
      </x:c>
      <x:c r="D49" s="20" t="n">
        <x:v>0.357801252767055</x:v>
      </x:c>
      <x:c r="E49" s="20" t="n">
        <x:v>0.14183754472625942</x:v>
      </x:c>
      <x:c r="F49" s="21" t="n">
        <x:v>1</x:v>
      </x:c>
      <x:c r="G49" s="23" t="n">
        <x:v>0.010000000000000009</x:v>
      </x:c>
      <x:c r="H49" s="3"/>
      <x:c r="I49" s="3"/>
      <x:c r="J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</x:row>
    <x:row r="51" ht="24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</x:row>
    <x:row r="52" ht="29" customHeight="1">
      <x:c r="A52" s="3"/>
      <x:c r="B52" s="4" t="str">
        <x:v>TABLE 6.</x:v>
      </x:c>
      <x:c r="C52" s="5" t="str">
        <x:v>Emotion probability and calibration.</x:v>
      </x:c>
      <x:c r="D52" s="5"/>
      <x:c r="E52" s="5"/>
      <x:c r="F52" s="5"/>
      <x:c r="G52" s="5"/>
      <x:c r="H52" s="3"/>
      <x:c r="I52" s="3"/>
      <x:c r="J52" s="3"/>
    </x:row>
    <x:row r="53" ht="21" customHeight="1">
      <x:c r="A53" s="3"/>
      <x:c r="B53" s="6" t="str">
        <x:v>Türkiye: emotion_tr, n = 4,403</x:v>
      </x:c>
      <x:c r="C53" s="6"/>
      <x:c r="D53" s="6"/>
      <x:c r="E53" s="6"/>
      <x:c r="F53" s="6"/>
      <x:c r="G53" s="6"/>
      <x:c r="H53" s="3"/>
      <x:c r="I53" s="3"/>
      <x:c r="J53" s="3"/>
    </x:row>
    <x:row r="54" ht="9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</x:row>
    <x:row r="55" ht="42" customHeight="1">
      <x:c r="A55" s="3"/>
      <x:c r="B55" s="11" t="str">
        <x:v>Model</x:v>
      </x:c>
      <x:c r="C55" s="10" t="str">
        <x:v>Log Loss</x:v>
      </x:c>
      <x:c r="D55" s="10" t="str">
        <x:v>Multiclass
Brier</x:v>
      </x:c>
      <x:c r="E55" s="10" t="str">
        <x:v>ECE</x:v>
      </x:c>
      <x:c r="F55" s="10" t="str">
        <x:v>Probability
Coverage</x:v>
      </x:c>
      <x:c r="G55" s="10" t="str">
        <x:v>Max. Probability
Sum Error</x:v>
      </x:c>
      <x:c r="H55" s="3"/>
      <x:c r="I55" s="3"/>
      <x:c r="J55" s="3"/>
    </x:row>
    <x:row r="56" ht="24" customHeight="1">
      <x:c r="A56" s="3"/>
      <x:c r="B56" s="12" t="str">
        <x:v>nimble:9b</x:v>
      </x:c>
      <x:c r="C56" s="19" t="n">
        <x:v>0.9507896767117473</x:v>
      </x:c>
      <x:c r="D56" s="18" t="n">
        <x:v>0.4219734207484434</x:v>
      </x:c>
      <x:c r="E56" s="18" t="n">
        <x:v>0.10318372849110821</x:v>
      </x:c>
      <x:c r="F56" s="19" t="n">
        <x:v>1</x:v>
      </x:c>
      <x:c r="G56" s="22" t="n">
        <x:v>4.440892098500626e-16</x:v>
      </x:c>
      <x:c r="H56" s="3"/>
      <x:c r="I56" s="3"/>
      <x:c r="J56" s="3"/>
    </x:row>
    <x:row r="57" ht="24" customHeight="1">
      <x:c r="A57" s="3"/>
      <x:c r="B57" s="12" t="str">
        <x:v>tev1:0.8b</x:v>
      </x:c>
      <x:c r="C57" s="18" t="n">
        <x:v>1.5970840012993563</x:v>
      </x:c>
      <x:c r="D57" s="18" t="n">
        <x:v>0.6986414741351405</x:v>
      </x:c>
      <x:c r="E57" s="18" t="n">
        <x:v>0.14847141535774266</x:v>
      </x:c>
      <x:c r="F57" s="19" t="n">
        <x:v>1</x:v>
      </x:c>
      <x:c r="G57" s="22" t="n">
        <x:v>4.440892098500626e-16</x:v>
      </x:c>
      <x:c r="H57" s="3"/>
      <x:c r="I57" s="3"/>
      <x:c r="J57" s="3"/>
    </x:row>
    <x:row r="58" ht="24" customHeight="1">
      <x:c r="A58" s="3"/>
      <x:c r="B58" s="12" t="str">
        <x:v>tev1:4b</x:v>
      </x:c>
      <x:c r="C58" s="18" t="n">
        <x:v>1.0292623564712848</x:v>
      </x:c>
      <x:c r="D58" s="18" t="n">
        <x:v>0.46696022129351156</x:v>
      </x:c>
      <x:c r="E58" s="19" t="n">
        <x:v>0.08933575718533342</x:v>
      </x:c>
      <x:c r="F58" s="19" t="n">
        <x:v>1</x:v>
      </x:c>
      <x:c r="G58" s="22" t="n">
        <x:v>5.551115123125783e-16</x:v>
      </x:c>
      <x:c r="H58" s="3"/>
      <x:c r="I58" s="3"/>
      <x:c r="J58" s="3"/>
    </x:row>
    <x:row r="59" ht="24" customHeight="1">
      <x:c r="A59" s="3"/>
      <x:c r="B59" s="14" t="str">
        <x:v>typesafe/jev-1.13</x:v>
      </x:c>
      <x:c r="C59" s="20" t="n">
        <x:v>2.391091743520766</x:v>
      </x:c>
      <x:c r="D59" s="21" t="n">
        <x:v>0.36920664646404394</x:v>
      </x:c>
      <x:c r="E59" s="20" t="n">
        <x:v>0.11837000484059311</x:v>
      </x:c>
      <x:c r="F59" s="21" t="n">
        <x:v>1</x:v>
      </x:c>
      <x:c r="G59" s="23" t="n">
        <x:v>0.010000000000000009</x:v>
      </x:c>
      <x:c r="H59" s="3"/>
      <x:c r="I59" s="3"/>
      <x:c r="J59" s="3"/>
    </x:row>
    <x:row r="60" ht="24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</x:row>
    <x:row r="61" ht="24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</x:row>
    <x:row r="62" ht="29" customHeight="1">
      <x:c r="A62" s="3"/>
      <x:c r="B62" s="4" t="str">
        <x:v>TABLE 7.</x:v>
      </x:c>
      <x:c r="C62" s="5" t="str">
        <x:v>Sentiment latency (ms).</x:v>
      </x:c>
      <x:c r="D62" s="5"/>
      <x:c r="E62" s="5"/>
      <x:c r="F62" s="3"/>
      <x:c r="G62" s="3"/>
      <x:c r="H62" s="3"/>
      <x:c r="I62" s="3"/>
      <x:c r="J62" s="3"/>
    </x:row>
    <x:row r="63" ht="21" customHeight="1">
      <x:c r="A63" s="3"/>
      <x:c r="B63" s="6" t="str">
        <x:v>Türkiye: sentiment_tr, n = 12,760</x:v>
      </x:c>
      <x:c r="C63" s="6"/>
      <x:c r="D63" s="6"/>
      <x:c r="E63" s="6"/>
      <x:c r="F63" s="3"/>
      <x:c r="G63" s="3"/>
      <x:c r="H63" s="3"/>
      <x:c r="I63" s="3"/>
      <x:c r="J63" s="3"/>
    </x:row>
    <x:row r="64" ht="9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</x:row>
    <x:row r="65" ht="42" customHeight="1">
      <x:c r="A65" s="3"/>
      <x:c r="B65" s="11" t="str">
        <x:v>Model</x:v>
      </x:c>
      <x:c r="C65" s="10" t="str">
        <x:v>Mean (ms)</x:v>
      </x:c>
      <x:c r="D65" s="10" t="str">
        <x:v>P50 (ms)</x:v>
      </x:c>
      <x:c r="E65" s="10" t="str">
        <x:v>P95 (ms)</x:v>
      </x:c>
      <x:c r="F65" s="3"/>
      <x:c r="G65" s="3"/>
      <x:c r="H65" s="3"/>
      <x:c r="I65" s="3"/>
      <x:c r="J65" s="3"/>
    </x:row>
    <x:row r="66" ht="24" customHeight="1">
      <x:c r="A66" s="3"/>
      <x:c r="B66" s="12" t="str">
        <x:v>nimble:9b</x:v>
      </x:c>
      <x:c r="C66" s="18" t="n">
        <x:v>714.0460503134797</x:v>
      </x:c>
      <x:c r="D66" s="18" t="n">
        <x:v>690.2565</x:v>
      </x:c>
      <x:c r="E66" s="18" t="n">
        <x:v>772.8776999999999</x:v>
      </x:c>
      <x:c r="F66" s="3"/>
      <x:c r="G66" s="3"/>
      <x:c r="H66" s="3"/>
      <x:c r="I66" s="3"/>
      <x:c r="J66" s="3"/>
    </x:row>
    <x:row r="67" ht="24" customHeight="1">
      <x:c r="A67" s="3"/>
      <x:c r="B67" s="12" t="str">
        <x:v>tev1:0.8b</x:v>
      </x:c>
      <x:c r="C67" s="18" t="n">
        <x:v>553.0313459247649</x:v>
      </x:c>
      <x:c r="D67" s="18" t="n">
        <x:v>540.8005</x:v>
      </x:c>
      <x:c r="E67" s="18" t="n">
        <x:v>610.9250499999999</x:v>
      </x:c>
      <x:c r="F67" s="3"/>
      <x:c r="G67" s="3"/>
      <x:c r="H67" s="3"/>
      <x:c r="I67" s="3"/>
      <x:c r="J67" s="3"/>
    </x:row>
    <x:row r="68" ht="24" customHeight="1">
      <x:c r="A68" s="3"/>
      <x:c r="B68" s="12" t="str">
        <x:v>tev1:4b</x:v>
      </x:c>
      <x:c r="C68" s="18" t="n">
        <x:v>765.7739284482758</x:v>
      </x:c>
      <x:c r="D68" s="18" t="n">
        <x:v>771.3335</x:v>
      </x:c>
      <x:c r="E68" s="18" t="n">
        <x:v>861.1093999999999</x:v>
      </x:c>
      <x:c r="F68" s="3"/>
      <x:c r="G68" s="3"/>
      <x:c r="H68" s="3"/>
      <x:c r="I68" s="3"/>
      <x:c r="J68" s="3"/>
    </x:row>
    <x:row r="69" ht="24" customHeight="1">
      <x:c r="A69" s="3"/>
      <x:c r="B69" s="14" t="str">
        <x:v>typesafe/jev-1.13</x:v>
      </x:c>
      <x:c r="C69" s="21" t="n">
        <x:v>289.2779961598746</x:v>
      </x:c>
      <x:c r="D69" s="21" t="n">
        <x:v>277.155</x:v>
      </x:c>
      <x:c r="E69" s="21" t="n">
        <x:v>372.76619999999997</x:v>
      </x:c>
      <x:c r="F69" s="3"/>
      <x:c r="G69" s="3"/>
      <x:c r="H69" s="3"/>
      <x:c r="I69" s="3"/>
      <x:c r="J69" s="3"/>
    </x:row>
    <x:row r="70" ht="24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</x:row>
    <x:row r="71" ht="24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</x:row>
    <x:row r="72" ht="29" customHeight="1">
      <x:c r="A72" s="3"/>
      <x:c r="B72" s="4" t="str">
        <x:v>TABLE 8.</x:v>
      </x:c>
      <x:c r="C72" s="5" t="str">
        <x:v>Emotion latency (ms).</x:v>
      </x:c>
      <x:c r="D72" s="5"/>
      <x:c r="E72" s="5"/>
      <x:c r="F72" s="3"/>
      <x:c r="G72" s="3"/>
      <x:c r="H72" s="3"/>
      <x:c r="I72" s="3"/>
      <x:c r="J72" s="3"/>
    </x:row>
    <x:row r="73" ht="21" customHeight="1">
      <x:c r="A73" s="3"/>
      <x:c r="B73" s="6" t="str">
        <x:v>Türkiye: emotion_tr, n = 4,403</x:v>
      </x:c>
      <x:c r="C73" s="6"/>
      <x:c r="D73" s="6"/>
      <x:c r="E73" s="6"/>
      <x:c r="F73" s="3"/>
      <x:c r="G73" s="3"/>
      <x:c r="H73" s="3"/>
      <x:c r="I73" s="3"/>
      <x:c r="J73" s="3"/>
    </x:row>
    <x:row r="74" ht="9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</x:row>
    <x:row r="75" ht="42" customHeight="1">
      <x:c r="A75" s="3"/>
      <x:c r="B75" s="11" t="str">
        <x:v>Model</x:v>
      </x:c>
      <x:c r="C75" s="10" t="str">
        <x:v>Mean (ms)</x:v>
      </x:c>
      <x:c r="D75" s="10" t="str">
        <x:v>P50 (ms)</x:v>
      </x:c>
      <x:c r="E75" s="10" t="str">
        <x:v>P95 (ms)</x:v>
      </x:c>
      <x:c r="F75" s="3"/>
      <x:c r="G75" s="3"/>
      <x:c r="H75" s="3"/>
      <x:c r="I75" s="3"/>
      <x:c r="J75" s="3"/>
    </x:row>
    <x:row r="76" ht="24" customHeight="1">
      <x:c r="A76" s="3"/>
      <x:c r="B76" s="12" t="str">
        <x:v>nimble:9b</x:v>
      </x:c>
      <x:c r="C76" s="18" t="n">
        <x:v>760.0553765614353</x:v>
      </x:c>
      <x:c r="D76" s="18" t="n">
        <x:v>741.531</x:v>
      </x:c>
      <x:c r="E76" s="18" t="n">
        <x:v>867.1234</x:v>
      </x:c>
      <x:c r="F76" s="3"/>
      <x:c r="G76" s="3"/>
      <x:c r="H76" s="3"/>
      <x:c r="I76" s="3"/>
      <x:c r="J76" s="3"/>
    </x:row>
    <x:row r="77" ht="24" customHeight="1">
      <x:c r="A77" s="3"/>
      <x:c r="B77" s="12" t="str">
        <x:v>tev1:0.8b</x:v>
      </x:c>
      <x:c r="C77" s="18" t="n">
        <x:v>793.3999722916193</x:v>
      </x:c>
      <x:c r="D77" s="18" t="n">
        <x:v>867.453</x:v>
      </x:c>
      <x:c r="E77" s="18" t="n">
        <x:v>882.1109</x:v>
      </x:c>
      <x:c r="F77" s="3"/>
      <x:c r="G77" s="3"/>
      <x:c r="H77" s="3"/>
      <x:c r="I77" s="3"/>
      <x:c r="J77" s="3"/>
    </x:row>
    <x:row r="78" ht="24" customHeight="1">
      <x:c r="A78" s="3"/>
      <x:c r="B78" s="12" t="str">
        <x:v>tev1:4b</x:v>
      </x:c>
      <x:c r="C78" s="18" t="n">
        <x:v>765.0517397229162</x:v>
      </x:c>
      <x:c r="D78" s="18" t="n">
        <x:v>734.884</x:v>
      </x:c>
      <x:c r="E78" s="18" t="n">
        <x:v>879.7139999999999</x:v>
      </x:c>
      <x:c r="F78" s="3"/>
      <x:c r="G78" s="3"/>
      <x:c r="H78" s="3"/>
      <x:c r="I78" s="3"/>
      <x:c r="J78" s="3"/>
    </x:row>
    <x:row r="79" ht="24" customHeight="1">
      <x:c r="A79" s="3"/>
      <x:c r="B79" s="14" t="str">
        <x:v>typesafe/jev-1.13</x:v>
      </x:c>
      <x:c r="C79" s="21" t="n">
        <x:v>290.742994549171</x:v>
      </x:c>
      <x:c r="D79" s="21" t="n">
        <x:v>280.399</x:v>
      </x:c>
      <x:c r="E79" s="21" t="n">
        <x:v>357.44719999999995</x:v>
      </x:c>
      <x:c r="F79" s="3"/>
      <x:c r="G79" s="3"/>
      <x:c r="H79" s="3"/>
      <x:c r="I79" s="3"/>
      <x:c r="J79" s="3"/>
    </x:row>
    <x:row r="80" ht="24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</x:row>
    <x:row r="81" ht="24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</x:row>
    <x:row r="82" ht="29" customHeight="1">
      <x:c r="A82" s="3"/>
      <x:c r="B82" s="4" t="str">
        <x:v>TABLE 9.</x:v>
      </x:c>
      <x:c r="C82" s="5" t="str">
        <x:v>Sentiment evaluation coverage.</x:v>
      </x:c>
      <x:c r="D82" s="5"/>
      <x:c r="E82" s="5"/>
      <x:c r="F82" s="5"/>
      <x:c r="G82" s="5"/>
      <x:c r="H82" s="5"/>
      <x:c r="I82" s="3"/>
      <x:c r="J82" s="3"/>
    </x:row>
    <x:row r="83" ht="21" customHeight="1">
      <x:c r="A83" s="3"/>
      <x:c r="B83" s="6" t="str">
        <x:v>Türkiye: sentiment_tr, n = 12,760</x:v>
      </x:c>
      <x:c r="C83" s="6"/>
      <x:c r="D83" s="6"/>
      <x:c r="E83" s="6"/>
      <x:c r="F83" s="6"/>
      <x:c r="G83" s="6"/>
      <x:c r="H83" s="6"/>
      <x:c r="I83" s="3"/>
      <x:c r="J83" s="3"/>
    </x:row>
    <x:row r="84" ht="9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</x:row>
    <x:row r="85" ht="42" customHeight="1">
      <x:c r="A85" s="3"/>
      <x:c r="B85" s="11" t="str">
        <x:v>Model</x:v>
      </x:c>
      <x:c r="C85" s="10" t="str">
        <x:v>Total</x:v>
      </x:c>
      <x:c r="D85" s="10" t="str">
        <x:v>Successful</x:v>
      </x:c>
      <x:c r="E85" s="10" t="str">
        <x:v>Errors</x:v>
      </x:c>
      <x:c r="F85" s="10" t="str">
        <x:v>Error Rate</x:v>
      </x:c>
      <x:c r="G85" s="10" t="str">
        <x:v>Probability
Records</x:v>
      </x:c>
      <x:c r="H85" s="10" t="str">
        <x:v>Choice
Mismatches</x:v>
      </x:c>
      <x:c r="I85" s="3"/>
      <x:c r="J85" s="3"/>
    </x:row>
    <x:row r="86" ht="24" customHeight="1">
      <x:c r="A86" s="3"/>
      <x:c r="B86" s="12" t="str">
        <x:v>nimble:9b</x:v>
      </x:c>
      <x:c r="C86" s="24" t="n">
        <x:v>12760</x:v>
      </x:c>
      <x:c r="D86" s="24" t="n">
        <x:v>12760</x:v>
      </x:c>
      <x:c r="E86" s="24" t="n">
        <x:v>0</x:v>
      </x:c>
      <x:c r="F86" s="16" t="n">
        <x:v>0</x:v>
      </x:c>
      <x:c r="G86" s="24" t="n">
        <x:v>12760</x:v>
      </x:c>
      <x:c r="H86" s="24" t="n">
        <x:v>0</x:v>
      </x:c>
      <x:c r="I86" s="3"/>
      <x:c r="J86" s="3"/>
    </x:row>
    <x:row r="87" ht="24" customHeight="1">
      <x:c r="A87" s="3"/>
      <x:c r="B87" s="12" t="str">
        <x:v>tev1:0.8b</x:v>
      </x:c>
      <x:c r="C87" s="24" t="n">
        <x:v>12760</x:v>
      </x:c>
      <x:c r="D87" s="24" t="n">
        <x:v>12760</x:v>
      </x:c>
      <x:c r="E87" s="24" t="n">
        <x:v>0</x:v>
      </x:c>
      <x:c r="F87" s="16" t="n">
        <x:v>0</x:v>
      </x:c>
      <x:c r="G87" s="24" t="n">
        <x:v>12760</x:v>
      </x:c>
      <x:c r="H87" s="24" t="n">
        <x:v>0</x:v>
      </x:c>
      <x:c r="I87" s="3"/>
      <x:c r="J87" s="3"/>
    </x:row>
    <x:row r="88" ht="24" customHeight="1">
      <x:c r="A88" s="3"/>
      <x:c r="B88" s="12" t="str">
        <x:v>tev1:4b</x:v>
      </x:c>
      <x:c r="C88" s="24" t="n">
        <x:v>12760</x:v>
      </x:c>
      <x:c r="D88" s="24" t="n">
        <x:v>12760</x:v>
      </x:c>
      <x:c r="E88" s="24" t="n">
        <x:v>0</x:v>
      </x:c>
      <x:c r="F88" s="16" t="n">
        <x:v>0</x:v>
      </x:c>
      <x:c r="G88" s="24" t="n">
        <x:v>12760</x:v>
      </x:c>
      <x:c r="H88" s="24" t="n">
        <x:v>0</x:v>
      </x:c>
      <x:c r="I88" s="3"/>
      <x:c r="J88" s="3"/>
    </x:row>
    <x:row r="89" ht="24" customHeight="1">
      <x:c r="A89" s="3"/>
      <x:c r="B89" s="14" t="str">
        <x:v>typesafe/jev-1.13</x:v>
      </x:c>
      <x:c r="C89" s="25" t="n">
        <x:v>12760</x:v>
      </x:c>
      <x:c r="D89" s="25" t="n">
        <x:v>12760</x:v>
      </x:c>
      <x:c r="E89" s="25" t="n">
        <x:v>0</x:v>
      </x:c>
      <x:c r="F89" s="17" t="n">
        <x:v>0</x:v>
      </x:c>
      <x:c r="G89" s="25" t="n">
        <x:v>12760</x:v>
      </x:c>
      <x:c r="H89" s="25" t="n">
        <x:v>7</x:v>
      </x:c>
      <x:c r="I89" s="3"/>
      <x:c r="J89" s="3"/>
    </x:row>
    <x:row r="90" ht="24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</x:row>
    <x:row r="91" ht="24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</x:row>
    <x:row r="92" ht="29" customHeight="1">
      <x:c r="A92" s="3"/>
      <x:c r="B92" s="4" t="str">
        <x:v>TABLE 10.</x:v>
      </x:c>
      <x:c r="C92" s="5" t="str">
        <x:v>Emotion evaluation coverage.</x:v>
      </x:c>
      <x:c r="D92" s="5"/>
      <x:c r="E92" s="5"/>
      <x:c r="F92" s="5"/>
      <x:c r="G92" s="5"/>
      <x:c r="H92" s="5"/>
      <x:c r="I92" s="3"/>
      <x:c r="J92" s="3"/>
    </x:row>
    <x:row r="93" ht="21" customHeight="1">
      <x:c r="A93" s="3"/>
      <x:c r="B93" s="6" t="str">
        <x:v>Türkiye: emotion_tr, n = 4,403</x:v>
      </x:c>
      <x:c r="C93" s="6"/>
      <x:c r="D93" s="6"/>
      <x:c r="E93" s="6"/>
      <x:c r="F93" s="6"/>
      <x:c r="G93" s="6"/>
      <x:c r="H93" s="6"/>
      <x:c r="I93" s="3"/>
      <x:c r="J93" s="3"/>
    </x:row>
    <x:row r="94" ht="9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</x:row>
    <x:row r="95" ht="42" customHeight="1">
      <x:c r="A95" s="3"/>
      <x:c r="B95" s="11" t="str">
        <x:v>Model</x:v>
      </x:c>
      <x:c r="C95" s="10" t="str">
        <x:v>Total</x:v>
      </x:c>
      <x:c r="D95" s="10" t="str">
        <x:v>Successful</x:v>
      </x:c>
      <x:c r="E95" s="10" t="str">
        <x:v>Errors</x:v>
      </x:c>
      <x:c r="F95" s="10" t="str">
        <x:v>Error Rate</x:v>
      </x:c>
      <x:c r="G95" s="10" t="str">
        <x:v>Probability
Records</x:v>
      </x:c>
      <x:c r="H95" s="10" t="str">
        <x:v>Choice
Mismatches</x:v>
      </x:c>
      <x:c r="I95" s="3"/>
      <x:c r="J95" s="3"/>
    </x:row>
    <x:row r="96" ht="24" customHeight="1">
      <x:c r="A96" s="3"/>
      <x:c r="B96" s="12" t="str">
        <x:v>nimble:9b</x:v>
      </x:c>
      <x:c r="C96" s="24" t="n">
        <x:v>4403</x:v>
      </x:c>
      <x:c r="D96" s="24" t="n">
        <x:v>4403</x:v>
      </x:c>
      <x:c r="E96" s="24" t="n">
        <x:v>0</x:v>
      </x:c>
      <x:c r="F96" s="16" t="n">
        <x:v>0</x:v>
      </x:c>
      <x:c r="G96" s="24" t="n">
        <x:v>4403</x:v>
      </x:c>
      <x:c r="H96" s="24" t="n">
        <x:v>0</x:v>
      </x:c>
      <x:c r="I96" s="3"/>
      <x:c r="J96" s="3"/>
    </x:row>
    <x:row r="97" ht="24" customHeight="1">
      <x:c r="A97" s="3"/>
      <x:c r="B97" s="12" t="str">
        <x:v>tev1:0.8b</x:v>
      </x:c>
      <x:c r="C97" s="24" t="n">
        <x:v>4403</x:v>
      </x:c>
      <x:c r="D97" s="24" t="n">
        <x:v>4403</x:v>
      </x:c>
      <x:c r="E97" s="24" t="n">
        <x:v>0</x:v>
      </x:c>
      <x:c r="F97" s="16" t="n">
        <x:v>0</x:v>
      </x:c>
      <x:c r="G97" s="24" t="n">
        <x:v>4403</x:v>
      </x:c>
      <x:c r="H97" s="24" t="n">
        <x:v>0</x:v>
      </x:c>
      <x:c r="I97" s="3"/>
      <x:c r="J97" s="3"/>
    </x:row>
    <x:row r="98" ht="24" customHeight="1">
      <x:c r="A98" s="3"/>
      <x:c r="B98" s="12" t="str">
        <x:v>tev1:4b</x:v>
      </x:c>
      <x:c r="C98" s="24" t="n">
        <x:v>4403</x:v>
      </x:c>
      <x:c r="D98" s="24" t="n">
        <x:v>4403</x:v>
      </x:c>
      <x:c r="E98" s="24" t="n">
        <x:v>0</x:v>
      </x:c>
      <x:c r="F98" s="16" t="n">
        <x:v>0</x:v>
      </x:c>
      <x:c r="G98" s="24" t="n">
        <x:v>4403</x:v>
      </x:c>
      <x:c r="H98" s="24" t="n">
        <x:v>0</x:v>
      </x:c>
      <x:c r="I98" s="3"/>
      <x:c r="J98" s="3"/>
    </x:row>
    <x:row r="99" ht="24" customHeight="1">
      <x:c r="A99" s="3"/>
      <x:c r="B99" s="14" t="str">
        <x:v>typesafe/jev-1.13</x:v>
      </x:c>
      <x:c r="C99" s="25" t="n">
        <x:v>4403</x:v>
      </x:c>
      <x:c r="D99" s="25" t="n">
        <x:v>4403</x:v>
      </x:c>
      <x:c r="E99" s="25" t="n">
        <x:v>0</x:v>
      </x:c>
      <x:c r="F99" s="17" t="n">
        <x:v>0</x:v>
      </x:c>
      <x:c r="G99" s="25" t="n">
        <x:v>4403</x:v>
      </x:c>
      <x:c r="H99" s="25" t="n">
        <x:v>9</x:v>
      </x:c>
      <x:c r="I99" s="3"/>
      <x:c r="J99" s="3"/>
    </x:row>
    <x:row r="100" ht="24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</x:row>
    <x:row r="101" ht="24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</x:row>
    <x:row r="102" ht="23" customHeight="1">
      <x:c r="A102" s="3"/>
      <x:c r="B102" s="6" t="str">
        <x:v>Bold marks the best exact value within each country and task; ties are included.</x:v>
      </x:c>
      <x:c r="C102" s="6"/>
      <x:c r="D102" s="6"/>
      <x:c r="E102" s="6"/>
      <x:c r="F102" s="6"/>
      <x:c r="G102" s="6"/>
      <x:c r="H102" s="6"/>
      <x:c r="I102" s="3"/>
      <x:c r="J102" s="3"/>
    </x:row>
    <x:row r="103" ht="23" customHeight="1">
      <x:c r="A103" s="3"/>
      <x:c r="B103" s="6" t="str">
        <x:v>Higher is better for accuracy, F1 and probability coverage. Lower is better for loss, Brier, ECE and latency.</x:v>
      </x:c>
      <x:c r="C103" s="6"/>
      <x:c r="D103" s="6"/>
      <x:c r="E103" s="6"/>
      <x:c r="F103" s="6"/>
      <x:c r="G103" s="6"/>
      <x:c r="H103" s="6"/>
      <x:c r="I103" s="3"/>
      <x:c r="J103" s="3"/>
    </x:row>
    <x:row r="104" ht="23" customHeight="1">
      <x:c r="A104" s="3"/>
      <x:c r="B104" s="6" t="str">
        <x:v>Scores display three decimals; underlying values retain source precision. Confidence interval levels were not specified.</x:v>
      </x:c>
      <x:c r="C104" s="6"/>
      <x:c r="D104" s="6"/>
      <x:c r="E104" s="6"/>
      <x:c r="F104" s="6"/>
      <x:c r="G104" s="6"/>
      <x:c r="H104" s="6"/>
      <x:c r="I104" s="3"/>
      <x:c r="J104" s="3"/>
    </x:row>
    <x:row r="105" ht="23" customHeight="1">
      <x:c r="A105" s="3"/>
      <x:c r="B105" s="6" t="str">
        <x:v>Per-class precision, recall, F1, and support are included in the tables below.</x:v>
      </x:c>
      <x:c r="C105" s="6"/>
      <x:c r="D105" s="6"/>
      <x:c r="E105" s="6"/>
      <x:c r="F105" s="6"/>
      <x:c r="G105" s="6"/>
      <x:c r="H105" s="6"/>
      <x:c r="I105" s="3"/>
      <x:c r="J105" s="3"/>
    </x:row>
    <x:row r="106" ht="23" customHeight="1">
      <x:c r="A106" s="3"/>
      <x:c r="B106" s="6" t="str">
        <x:v>Source: summary.csv</x:v>
      </x:c>
      <x:c r="C106" s="6"/>
      <x:c r="D106" s="6"/>
      <x:c r="E106" s="6"/>
      <x:c r="F106" s="6"/>
      <x:c r="G106" s="6"/>
      <x:c r="H106" s="6"/>
      <x:c r="I106" s="3"/>
      <x:c r="J106" s="3"/>
    </x:row>
    <x:row r="107" ht="23" customHeight="1">
      <x:c r="A107" s="3"/>
      <x:c r="B107" s="6" t="str">
        <x:v>Source: per_class_metrics.csv</x:v>
      </x:c>
      <x:c r="C107" s="6"/>
      <x:c r="D107" s="6"/>
      <x:c r="E107" s="6"/>
      <x:c r="F107" s="6"/>
      <x:c r="G107" s="6"/>
      <x:c r="H107" s="6"/>
      <x:c r="I107" s="3"/>
      <x:c r="J107" s="3"/>
    </x:row>
    <x:row r="108" ht="24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</x:row>
    <x:row r="109" ht="24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</x:row>
    <x:row r="110" ht="24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</x:row>
    <x:row r="111" ht="24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</x:row>
    <x:row r="112" ht="29" customHeight="1">
      <x:c r="A112" s="33"/>
      <x:c r="B112" s="36" t="str">
        <x:v>TABLE 11.</x:v>
      </x:c>
      <x:c r="C112" s="37" t="str">
        <x:v>Sentiment classification precision.</x:v>
      </x:c>
      <x:c r="D112" s="37"/>
      <x:c r="E112" s="37"/>
      <x:c r="F112" s="37"/>
      <x:c r="G112" s="33"/>
      <x:c r="H112" s="33"/>
      <x:c r="I112" s="33"/>
      <x:c r="J112" s="33"/>
      <x:c r="K112" s="33"/>
      <x:c r="L112" s="33"/>
    </x:row>
    <x:row r="113" ht="21" customHeight="1">
      <x:c r="A113" s="33"/>
      <x:c r="B113" s="38" t="str">
        <x:v>Türkiye: sentiment_tr, n = 12,760</x:v>
      </x:c>
      <x:c r="C113" s="38"/>
      <x:c r="D113" s="38"/>
      <x:c r="E113" s="38"/>
      <x:c r="F113" s="38"/>
      <x:c r="G113" s="33"/>
      <x:c r="H113" s="33"/>
      <x:c r="I113" s="33"/>
      <x:c r="J113" s="33"/>
      <x:c r="K113" s="33"/>
      <x:c r="L113" s="33"/>
    </x:row>
    <x:row r="114" ht="9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</x:row>
    <x:row r="115" ht="42" customHeight="1">
      <x:c r="A115" s="33"/>
      <x:c r="B115" s="43" t="str">
        <x:v>Model</x:v>
      </x:c>
      <x:c r="C115" s="42" t="str">
        <x:v>positive</x:v>
      </x:c>
      <x:c r="D115" s="42" t="str">
        <x:v>negative</x:v>
      </x:c>
      <x:c r="E115" s="42" t="str">
        <x:v>neutral</x:v>
      </x:c>
      <x:c r="F115" s="42" t="str">
        <x:v>Macro-
Precision</x:v>
      </x:c>
      <x:c r="G115" s="33"/>
      <x:c r="H115" s="33"/>
      <x:c r="I115" s="33"/>
      <x:c r="J115" s="33"/>
      <x:c r="K115" s="33"/>
      <x:c r="L115" s="33"/>
    </x:row>
    <x:row r="116" ht="24" customHeight="1">
      <x:c r="A116" s="33"/>
      <x:c r="B116" s="44" t="str">
        <x:v>nimble:9b</x:v>
      </x:c>
      <x:c r="C116" s="49" t="n">
        <x:v>0.8423177392543338</x:v>
      </x:c>
      <x:c r="D116" s="49" t="n">
        <x:v>0.7036825578075935</x:v>
      </x:c>
      <x:c r="E116" s="49" t="n">
        <x:v>0.4119760479041916</x:v>
      </x:c>
      <x:c r="F116" s="49" t="n">
        <x:f>AVERAGE(C116:E116)</x:f>
        <x:v>0.6526587816553729</x:v>
      </x:c>
      <x:c r="G116" s="33"/>
      <x:c r="H116" s="33"/>
      <x:c r="I116" s="33"/>
      <x:c r="J116" s="33"/>
      <x:c r="K116" s="33"/>
      <x:c r="L116" s="33"/>
    </x:row>
    <x:row r="117" ht="24" customHeight="1">
      <x:c r="A117" s="33"/>
      <x:c r="B117" s="44" t="str">
        <x:v>tev1:0.8b</x:v>
      </x:c>
      <x:c r="C117" s="49" t="n">
        <x:v>0.8633373607195597</x:v>
      </x:c>
      <x:c r="D117" s="49" t="n">
        <x:v>0.5977386934673367</x:v>
      </x:c>
      <x:c r="E117" s="49" t="n">
        <x:v>0.3756574004507889</x:v>
      </x:c>
      <x:c r="F117" s="49" t="n">
        <x:f>AVERAGE(C117:E117)</x:f>
        <x:v>0.6122444848792284</x:v>
      </x:c>
      <x:c r="G117" s="33"/>
      <x:c r="H117" s="33"/>
      <x:c r="I117" s="33"/>
      <x:c r="J117" s="33"/>
      <x:c r="K117" s="33"/>
      <x:c r="L117" s="33"/>
    </x:row>
    <x:row r="118" ht="24" customHeight="1">
      <x:c r="A118" s="33"/>
      <x:c r="B118" s="44" t="str">
        <x:v>tev1:4b</x:v>
      </x:c>
      <x:c r="C118" s="49" t="n">
        <x:v>0.8573164803111327</x:v>
      </x:c>
      <x:c r="D118" s="51" t="n">
        <x:v>0.7400505369551484</x:v>
      </x:c>
      <x:c r="E118" s="51" t="n">
        <x:v>0.479502196193265</x:v>
      </x:c>
      <x:c r="F118" s="51" t="n">
        <x:f>AVERAGE(C118:E118)</x:f>
        <x:v>0.6922897378198486</x:v>
      </x:c>
      <x:c r="G118" s="33"/>
      <x:c r="H118" s="33"/>
      <x:c r="I118" s="33"/>
      <x:c r="J118" s="33"/>
      <x:c r="K118" s="33"/>
      <x:c r="L118" s="33"/>
    </x:row>
    <x:row r="119" ht="24" customHeight="1">
      <x:c r="A119" s="33"/>
      <x:c r="B119" s="47" t="str">
        <x:v>typesafe/jev-1.13</x:v>
      </x:c>
      <x:c r="C119" s="50" t="n">
        <x:v>0.8939842844261239</x:v>
      </x:c>
      <x:c r="D119" s="52" t="n">
        <x:v>0.6212298339957915</x:v>
      </x:c>
      <x:c r="E119" s="52" t="n">
        <x:v>0.4</x:v>
      </x:c>
      <x:c r="F119" s="52" t="n">
        <x:f>AVERAGE(C119:E119)</x:f>
        <x:v>0.6384047061406384</x:v>
      </x:c>
      <x:c r="G119" s="33"/>
      <x:c r="H119" s="33"/>
      <x:c r="I119" s="33"/>
      <x:c r="J119" s="33"/>
      <x:c r="K119" s="33"/>
      <x:c r="L119" s="33"/>
    </x:row>
    <x:row r="120" ht="24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</x:row>
    <x:row r="121" ht="24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</x:row>
    <x:row r="122" ht="29" customHeight="1">
      <x:c r="A122" s="33"/>
      <x:c r="B122" s="36" t="str">
        <x:v>TABLE 12.</x:v>
      </x:c>
      <x:c r="C122" s="37" t="str">
        <x:v>Sentiment classification recall.</x:v>
      </x:c>
      <x:c r="D122" s="37"/>
      <x:c r="E122" s="37"/>
      <x:c r="F122" s="37"/>
      <x:c r="G122" s="33"/>
      <x:c r="H122" s="33"/>
      <x:c r="I122" s="33"/>
      <x:c r="J122" s="33"/>
      <x:c r="K122" s="33"/>
      <x:c r="L122" s="33"/>
    </x:row>
    <x:row r="123" ht="21" customHeight="1">
      <x:c r="A123" s="33"/>
      <x:c r="B123" s="38" t="str">
        <x:v>Türkiye: sentiment_tr, n = 12,760</x:v>
      </x:c>
      <x:c r="C123" s="38"/>
      <x:c r="D123" s="38"/>
      <x:c r="E123" s="38"/>
      <x:c r="F123" s="38"/>
      <x:c r="G123" s="33"/>
      <x:c r="H123" s="33"/>
      <x:c r="I123" s="33"/>
      <x:c r="J123" s="33"/>
      <x:c r="K123" s="33"/>
      <x:c r="L123" s="33"/>
    </x:row>
    <x:row r="124" ht="9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</x:row>
    <x:row r="125" ht="42" customHeight="1">
      <x:c r="A125" s="33"/>
      <x:c r="B125" s="43" t="str">
        <x:v>Model</x:v>
      </x:c>
      <x:c r="C125" s="42" t="str">
        <x:v>positive</x:v>
      </x:c>
      <x:c r="D125" s="42" t="str">
        <x:v>negative</x:v>
      </x:c>
      <x:c r="E125" s="42" t="str">
        <x:v>neutral</x:v>
      </x:c>
      <x:c r="F125" s="42" t="str">
        <x:v>Macro-
Recall</x:v>
      </x:c>
      <x:c r="G125" s="33"/>
      <x:c r="H125" s="33"/>
      <x:c r="I125" s="33"/>
      <x:c r="J125" s="33"/>
      <x:c r="K125" s="33"/>
      <x:c r="L125" s="33"/>
    </x:row>
    <x:row r="126" ht="24" customHeight="1">
      <x:c r="A126" s="33"/>
      <x:c r="B126" s="44" t="str">
        <x:v>nimble:9b</x:v>
      </x:c>
      <x:c r="C126" s="51" t="n">
        <x:v>0.9292638197537333</x:v>
      </x:c>
      <x:c r="D126" s="49" t="n">
        <x:v>0.8398637137989778</x:v>
      </x:c>
      <x:c r="E126" s="49" t="n">
        <x:v>0.15700593336376084</x:v>
      </x:c>
      <x:c r="F126" s="49" t="n">
        <x:f>AVERAGE(C126:E126)</x:f>
        <x:v>0.6420444889721573</x:v>
      </x:c>
      <x:c r="G126" s="33"/>
      <x:c r="H126" s="33"/>
      <x:c r="I126" s="33"/>
      <x:c r="J126" s="33"/>
      <x:c r="K126" s="33"/>
      <x:c r="L126" s="33"/>
    </x:row>
    <x:row r="127" ht="24" customHeight="1">
      <x:c r="A127" s="33"/>
      <x:c r="B127" s="44" t="str">
        <x:v>tev1:0.8b</x:v>
      </x:c>
      <x:c r="C127" s="49" t="n">
        <x:v>0.8424155095624837</x:v>
      </x:c>
      <x:c r="D127" s="49" t="n">
        <x:v>0.8105621805792164</x:v>
      </x:c>
      <x:c r="E127" s="49" t="n">
        <x:v>0.22820629849383842</x:v>
      </x:c>
      <x:c r="F127" s="49" t="n">
        <x:f>AVERAGE(C127:E127)</x:f>
        <x:v>0.6270613295451796</x:v>
      </x:c>
      <x:c r="G127" s="33"/>
      <x:c r="H127" s="33"/>
      <x:c r="I127" s="33"/>
      <x:c r="J127" s="33"/>
      <x:c r="K127" s="33"/>
      <x:c r="L127" s="33"/>
    </x:row>
    <x:row r="128" ht="24" customHeight="1">
      <x:c r="A128" s="33"/>
      <x:c r="B128" s="44" t="str">
        <x:v>tev1:4b</x:v>
      </x:c>
      <x:c r="C128" s="49" t="n">
        <x:v>0.9240241026984543</x:v>
      </x:c>
      <x:c r="D128" s="49" t="n">
        <x:v>0.7982964224872232</x:v>
      </x:c>
      <x:c r="E128" s="51" t="n">
        <x:v>0.29895025102692835</x:v>
      </x:c>
      <x:c r="F128" s="51" t="n">
        <x:f>AVERAGE(C128:E128)</x:f>
        <x:v>0.6737569254042018</x:v>
      </x:c>
      <x:c r="G128" s="33"/>
      <x:c r="H128" s="33"/>
      <x:c r="I128" s="33"/>
      <x:c r="J128" s="33"/>
      <x:c r="K128" s="33"/>
      <x:c r="L128" s="33"/>
    </x:row>
    <x:row r="129" ht="24" customHeight="1">
      <x:c r="A129" s="33"/>
      <x:c r="B129" s="47" t="str">
        <x:v>typesafe/jev-1.13</x:v>
      </x:c>
      <x:c r="C129" s="52" t="n">
        <x:v>0.9090909090909091</x:v>
      </x:c>
      <x:c r="D129" s="50" t="n">
        <x:v>0.9052810902896081</x:v>
      </x:c>
      <x:c r="E129" s="52" t="n">
        <x:v>0.13144682793245094</x:v>
      </x:c>
      <x:c r="F129" s="52" t="n">
        <x:f>AVERAGE(C129:E129)</x:f>
        <x:v>0.6486062757709894</x:v>
      </x:c>
      <x:c r="G129" s="33"/>
      <x:c r="H129" s="33"/>
      <x:c r="I129" s="33"/>
      <x:c r="J129" s="33"/>
      <x:c r="K129" s="33"/>
      <x:c r="L129" s="33"/>
    </x:row>
    <x:row r="130" ht="24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</x:row>
    <x:row r="131" ht="24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</x:row>
    <x:row r="132" ht="29" customHeight="1">
      <x:c r="A132" s="33"/>
      <x:c r="B132" s="36" t="str">
        <x:v>TABLE 13.</x:v>
      </x:c>
      <x:c r="C132" s="37" t="str">
        <x:v>Sentiment classification F1.</x:v>
      </x:c>
      <x:c r="D132" s="37"/>
      <x:c r="E132" s="37"/>
      <x:c r="F132" s="37"/>
      <x:c r="G132" s="33"/>
      <x:c r="H132" s="33"/>
      <x:c r="I132" s="33"/>
      <x:c r="J132" s="33"/>
      <x:c r="K132" s="33"/>
      <x:c r="L132" s="33"/>
    </x:row>
    <x:row r="133" ht="21" customHeight="1">
      <x:c r="A133" s="33"/>
      <x:c r="B133" s="38" t="str">
        <x:v>Türkiye: sentiment_tr, n = 12,760</x:v>
      </x:c>
      <x:c r="C133" s="38"/>
      <x:c r="D133" s="38"/>
      <x:c r="E133" s="38"/>
      <x:c r="F133" s="38"/>
      <x:c r="G133" s="33"/>
      <x:c r="H133" s="33"/>
      <x:c r="I133" s="33"/>
      <x:c r="J133" s="33"/>
      <x:c r="K133" s="33"/>
      <x:c r="L133" s="33"/>
    </x:row>
    <x:row r="134" ht="9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</x:row>
    <x:row r="135" ht="42" customHeight="1">
      <x:c r="A135" s="33"/>
      <x:c r="B135" s="43" t="str">
        <x:v>Model</x:v>
      </x:c>
      <x:c r="C135" s="42" t="str">
        <x:v>positive</x:v>
      </x:c>
      <x:c r="D135" s="42" t="str">
        <x:v>negative</x:v>
      </x:c>
      <x:c r="E135" s="42" t="str">
        <x:v>neutral</x:v>
      </x:c>
      <x:c r="F135" s="42" t="str">
        <x:v>Macro-F1</x:v>
      </x:c>
      <x:c r="G135" s="33"/>
      <x:c r="H135" s="33"/>
      <x:c r="I135" s="33"/>
      <x:c r="J135" s="33"/>
      <x:c r="K135" s="33"/>
      <x:c r="L135" s="33"/>
    </x:row>
    <x:row r="136" ht="24" customHeight="1">
      <x:c r="A136" s="33"/>
      <x:c r="B136" s="44" t="str">
        <x:v>nimble:9b</x:v>
      </x:c>
      <x:c r="C136" s="49" t="n">
        <x:v>0.8836571998006976</x:v>
      </x:c>
      <x:c r="D136" s="49" t="n">
        <x:v>0.7657657657657657</x:v>
      </x:c>
      <x:c r="E136" s="49" t="n">
        <x:v>0.22736285525446134</x:v>
      </x:c>
      <x:c r="F136" s="49" t="n">
        <x:f>AVERAGE(C136:E136)</x:f>
        <x:v>0.6255952736069749</x:v>
      </x:c>
      <x:c r="G136" s="33"/>
      <x:c r="H136" s="33"/>
      <x:c r="I136" s="33"/>
      <x:c r="J136" s="33"/>
      <x:c r="K136" s="33"/>
      <x:c r="L136" s="33"/>
    </x:row>
    <x:row r="137" ht="24" customHeight="1">
      <x:c r="A137" s="33"/>
      <x:c r="B137" s="44" t="str">
        <x:v>tev1:0.8b</x:v>
      </x:c>
      <x:c r="C137" s="49" t="n">
        <x:v>0.8527481270304316</x:v>
      </x:c>
      <x:c r="D137" s="49" t="n">
        <x:v>0.6880694143167028</x:v>
      </x:c>
      <x:c r="E137" s="49" t="n">
        <x:v>0.2839295854628052</x:v>
      </x:c>
      <x:c r="F137" s="49" t="n">
        <x:f>AVERAGE(C137:E137)</x:f>
        <x:v>0.6082490422699799</x:v>
      </x:c>
      <x:c r="G137" s="33"/>
      <x:c r="H137" s="33"/>
      <x:c r="I137" s="33"/>
      <x:c r="J137" s="33"/>
      <x:c r="K137" s="33"/>
      <x:c r="L137" s="33"/>
    </x:row>
    <x:row r="138" ht="24" customHeight="1">
      <x:c r="A138" s="33"/>
      <x:c r="B138" s="44" t="str">
        <x:v>tev1:4b</x:v>
      </x:c>
      <x:c r="C138" s="49" t="n">
        <x:v>0.8894212583532972</x:v>
      </x:c>
      <x:c r="D138" s="51" t="n">
        <x:v>0.7680708080642518</x:v>
      </x:c>
      <x:c r="E138" s="51" t="n">
        <x:v>0.3682878830475119</x:v>
      </x:c>
      <x:c r="F138" s="51" t="n">
        <x:f>AVERAGE(C138:E138)</x:f>
        <x:v>0.6752599831550202</x:v>
      </x:c>
      <x:c r="G138" s="33"/>
      <x:c r="H138" s="33"/>
      <x:c r="I138" s="33"/>
      <x:c r="J138" s="33"/>
      <x:c r="K138" s="33"/>
      <x:c r="L138" s="33"/>
    </x:row>
    <x:row r="139" ht="24" customHeight="1">
      <x:c r="A139" s="33"/>
      <x:c r="B139" s="47" t="str">
        <x:v>typesafe/jev-1.13</x:v>
      </x:c>
      <x:c r="C139" s="50" t="n">
        <x:v>0.9014743131778918</x:v>
      </x:c>
      <x:c r="D139" s="52" t="n">
        <x:v>0.7368275097060455</x:v>
      </x:c>
      <x:c r="E139" s="52" t="n">
        <x:v>0.19787014771556166</x:v>
      </x:c>
      <x:c r="F139" s="52" t="n">
        <x:f>AVERAGE(C139:E139)</x:f>
        <x:v>0.6120573235331662</x:v>
      </x:c>
      <x:c r="G139" s="33"/>
      <x:c r="H139" s="33"/>
      <x:c r="I139" s="33"/>
      <x:c r="J139" s="33"/>
      <x:c r="K139" s="33"/>
      <x:c r="L139" s="33"/>
    </x:row>
    <x:row r="140" ht="24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</x:row>
    <x:row r="141" ht="24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</x:row>
    <x:row r="142" ht="29" customHeight="1">
      <x:c r="A142" s="33"/>
      <x:c r="B142" s="36" t="str">
        <x:v>TABLE 14.</x:v>
      </x:c>
      <x:c r="C142" s="37" t="str">
        <x:v>Sentiment classification support.</x:v>
      </x:c>
      <x:c r="D142" s="37"/>
      <x:c r="E142" s="37"/>
      <x:c r="F142" s="37"/>
      <x:c r="G142" s="33"/>
      <x:c r="H142" s="33"/>
      <x:c r="I142" s="33"/>
      <x:c r="J142" s="33"/>
      <x:c r="K142" s="33"/>
      <x:c r="L142" s="33"/>
    </x:row>
    <x:row r="143" ht="21" customHeight="1">
      <x:c r="A143" s="33"/>
      <x:c r="B143" s="38" t="str">
        <x:v>Türkiye: sentiment_tr, n = 12,760</x:v>
      </x:c>
      <x:c r="C143" s="38"/>
      <x:c r="D143" s="38"/>
      <x:c r="E143" s="38"/>
      <x:c r="F143" s="38"/>
      <x:c r="G143" s="33"/>
      <x:c r="H143" s="33"/>
      <x:c r="I143" s="33"/>
      <x:c r="J143" s="33"/>
      <x:c r="K143" s="33"/>
      <x:c r="L143" s="33"/>
    </x:row>
    <x:row r="144" ht="9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</x:row>
    <x:row r="145" ht="42" customHeight="1">
      <x:c r="A145" s="33"/>
      <x:c r="B145" s="43" t="str">
        <x:v>Model</x:v>
      </x:c>
      <x:c r="C145" s="42" t="str">
        <x:v>positive</x:v>
      </x:c>
      <x:c r="D145" s="42" t="str">
        <x:v>negative</x:v>
      </x:c>
      <x:c r="E145" s="42" t="str">
        <x:v>neutral</x:v>
      </x:c>
      <x:c r="F145" s="42" t="str">
        <x:v>Total</x:v>
      </x:c>
      <x:c r="G145" s="33"/>
      <x:c r="H145" s="33"/>
      <x:c r="I145" s="33"/>
      <x:c r="J145" s="33"/>
      <x:c r="K145" s="33"/>
      <x:c r="L145" s="33"/>
    </x:row>
    <x:row r="146" ht="24" customHeight="1">
      <x:c r="A146" s="33"/>
      <x:c r="B146" s="44" t="str">
        <x:v>nimble:9b</x:v>
      </x:c>
      <x:c r="C146" s="53" t="n">
        <x:v>7634</x:v>
      </x:c>
      <x:c r="D146" s="53" t="n">
        <x:v>2935</x:v>
      </x:c>
      <x:c r="E146" s="53" t="n">
        <x:v>2191</x:v>
      </x:c>
      <x:c r="F146" s="53" t="n">
        <x:f>SUM(C146:E146)</x:f>
        <x:v>12760</x:v>
      </x:c>
      <x:c r="G146" s="33"/>
      <x:c r="H146" s="33"/>
      <x:c r="I146" s="33"/>
      <x:c r="J146" s="33"/>
      <x:c r="K146" s="33"/>
      <x:c r="L146" s="33"/>
    </x:row>
    <x:row r="147" ht="24" customHeight="1">
      <x:c r="A147" s="33"/>
      <x:c r="B147" s="44" t="str">
        <x:v>tev1:0.8b</x:v>
      </x:c>
      <x:c r="C147" s="53" t="n">
        <x:v>7634</x:v>
      </x:c>
      <x:c r="D147" s="53" t="n">
        <x:v>2935</x:v>
      </x:c>
      <x:c r="E147" s="53" t="n">
        <x:v>2191</x:v>
      </x:c>
      <x:c r="F147" s="53" t="n">
        <x:f>SUM(C147:E147)</x:f>
        <x:v>12760</x:v>
      </x:c>
      <x:c r="G147" s="33"/>
      <x:c r="H147" s="33"/>
      <x:c r="I147" s="33"/>
      <x:c r="J147" s="33"/>
      <x:c r="K147" s="33"/>
      <x:c r="L147" s="33"/>
    </x:row>
    <x:row r="148" ht="24" customHeight="1">
      <x:c r="A148" s="33"/>
      <x:c r="B148" s="44" t="str">
        <x:v>tev1:4b</x:v>
      </x:c>
      <x:c r="C148" s="53" t="n">
        <x:v>7634</x:v>
      </x:c>
      <x:c r="D148" s="53" t="n">
        <x:v>2935</x:v>
      </x:c>
      <x:c r="E148" s="53" t="n">
        <x:v>2191</x:v>
      </x:c>
      <x:c r="F148" s="53" t="n">
        <x:f>SUM(C148:E148)</x:f>
        <x:v>12760</x:v>
      </x:c>
      <x:c r="G148" s="33"/>
      <x:c r="H148" s="33"/>
      <x:c r="I148" s="33"/>
      <x:c r="J148" s="33"/>
      <x:c r="K148" s="33"/>
      <x:c r="L148" s="33"/>
    </x:row>
    <x:row r="149" ht="24" customHeight="1">
      <x:c r="A149" s="33"/>
      <x:c r="B149" s="47" t="str">
        <x:v>typesafe/jev-1.13</x:v>
      </x:c>
      <x:c r="C149" s="54" t="n">
        <x:v>7634</x:v>
      </x:c>
      <x:c r="D149" s="54" t="n">
        <x:v>2935</x:v>
      </x:c>
      <x:c r="E149" s="54" t="n">
        <x:v>2191</x:v>
      </x:c>
      <x:c r="F149" s="54" t="n">
        <x:f>SUM(C149:E149)</x:f>
        <x:v>12760</x:v>
      </x:c>
      <x:c r="G149" s="33"/>
      <x:c r="H149" s="33"/>
      <x:c r="I149" s="33"/>
      <x:c r="J149" s="33"/>
      <x:c r="K149" s="33"/>
      <x:c r="L149" s="33"/>
    </x:row>
    <x:row r="150" ht="24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</x:row>
    <x:row r="151" ht="24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</x:row>
    <x:row r="152" ht="29" customHeight="1">
      <x:c r="A152" s="33"/>
      <x:c r="B152" s="36" t="str">
        <x:v>TABLE 15.</x:v>
      </x:c>
      <x:c r="C152" s="37" t="str">
        <x:v>Emotion classification precision.</x:v>
      </x:c>
      <x:c r="D152" s="37"/>
      <x:c r="E152" s="37"/>
      <x:c r="F152" s="37"/>
      <x:c r="G152" s="37"/>
      <x:c r="H152" s="37"/>
      <x:c r="I152" s="37"/>
      <x:c r="J152" s="37"/>
      <x:c r="K152" s="37"/>
      <x:c r="L152" s="33"/>
    </x:row>
    <x:row r="153" ht="21" customHeight="1">
      <x:c r="A153" s="33"/>
      <x:c r="B153" s="38" t="str">
        <x:v>Türkiye: emotion_tr, n = 4,403</x:v>
      </x:c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3"/>
    </x:row>
    <x:row r="154" ht="9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</x:row>
    <x:row r="155" ht="42" customHeight="1">
      <x:c r="A155" s="33"/>
      <x:c r="B155" s="43" t="str">
        <x:v>Model</x:v>
      </x:c>
      <x:c r="C155" s="42" t="str">
        <x:v>iğrenme</x:v>
      </x:c>
      <x:c r="D155" s="42" t="str">
        <x:v>korku</x:v>
      </x:c>
      <x:c r="E155" s="42" t="str">
        <x:v>minnet</x:v>
      </x:c>
      <x:c r="F155" s="42" t="str">
        <x:v>pişmanlık</x:v>
      </x:c>
      <x:c r="G155" s="42" t="str">
        <x:v>mutluluk</x:v>
      </x:c>
      <x:c r="H155" s="42" t="str">
        <x:v>öfke</x:v>
      </x:c>
      <x:c r="I155" s="42" t="str">
        <x:v>şaşkınlık</x:v>
      </x:c>
      <x:c r="J155" s="42" t="str">
        <x:v>üzüntü</x:v>
      </x:c>
      <x:c r="K155" s="42" t="str">
        <x:v>Macro-
Precision</x:v>
      </x:c>
      <x:c r="L155" s="33"/>
    </x:row>
    <x:row r="156" ht="24" customHeight="1">
      <x:c r="A156" s="33"/>
      <x:c r="B156" s="44" t="str">
        <x:v>nimble:9b</x:v>
      </x:c>
      <x:c r="C156" s="49" t="n">
        <x:v>0.6795422031473534</x:v>
      </x:c>
      <x:c r="D156" s="49" t="n">
        <x:v>0.8053097345132744</x:v>
      </x:c>
      <x:c r="E156" s="49" t="n">
        <x:v>0.8590604026845637</x:v>
      </x:c>
      <x:c r="F156" s="49" t="n">
        <x:v>0.7884940778341794</x:v>
      </x:c>
      <x:c r="G156" s="49" t="n">
        <x:v>0.6339869281045751</x:v>
      </x:c>
      <x:c r="H156" s="49" t="n">
        <x:v>0.6559139784946236</x:v>
      </x:c>
      <x:c r="I156" s="49" t="n">
        <x:v>0.6848249027237354</x:v>
      </x:c>
      <x:c r="J156" s="49" t="n">
        <x:v>0.6235294117647059</x:v>
      </x:c>
      <x:c r="K156" s="49" t="n">
        <x:f>AVERAGE(C156:J156)</x:f>
        <x:v>0.7163327049083763</x:v>
      </x:c>
      <x:c r="L156" s="33"/>
    </x:row>
    <x:row r="157" ht="24" customHeight="1">
      <x:c r="A157" s="33"/>
      <x:c r="B157" s="44" t="str">
        <x:v>tev1:0.8b</x:v>
      </x:c>
      <x:c r="C157" s="49" t="n">
        <x:v>0.2305194805194805</x:v>
      </x:c>
      <x:c r="D157" s="51" t="n">
        <x:v>0.8426573426573427</x:v>
      </x:c>
      <x:c r="E157" s="49" t="n">
        <x:v>0.8411764705882353</x:v>
      </x:c>
      <x:c r="F157" s="49" t="n">
        <x:v>0.5107458912768648</x:v>
      </x:c>
      <x:c r="G157" s="49" t="n">
        <x:v>0.5128205128205128</x:v>
      </x:c>
      <x:c r="H157" s="49" t="n">
        <x:v>0.4972375690607735</x:v>
      </x:c>
      <x:c r="I157" s="49" t="n">
        <x:v>0.7091836734693877</x:v>
      </x:c>
      <x:c r="J157" s="49" t="n">
        <x:v>0.4318181818181818</x:v>
      </x:c>
      <x:c r="K157" s="49" t="n">
        <x:f>AVERAGE(C157:J157)</x:f>
        <x:v>0.5720198902763474</x:v>
      </x:c>
      <x:c r="L157" s="33"/>
    </x:row>
    <x:row r="158" ht="24" customHeight="1">
      <x:c r="A158" s="33"/>
      <x:c r="B158" s="44" t="str">
        <x:v>tev1:4b</x:v>
      </x:c>
      <x:c r="C158" s="49" t="n">
        <x:v>0.5279299014238773</x:v>
      </x:c>
      <x:c r="D158" s="49" t="n">
        <x:v>0.8113948919449901</x:v>
      </x:c>
      <x:c r="E158" s="49" t="n">
        <x:v>0.8511627906976744</x:v>
      </x:c>
      <x:c r="F158" s="49" t="n">
        <x:v>0.7508710801393729</x:v>
      </x:c>
      <x:c r="G158" s="49" t="n">
        <x:v>0.6252129471890971</x:v>
      </x:c>
      <x:c r="H158" s="51" t="n">
        <x:v>0.6829268292682927</x:v>
      </x:c>
      <x:c r="I158" s="49" t="n">
        <x:v>0.6151260504201681</x:v>
      </x:c>
      <x:c r="J158" s="49" t="n">
        <x:v>0.5826771653543307</x:v>
      </x:c>
      <x:c r="K158" s="49" t="n">
        <x:f>AVERAGE(C158:J158)</x:f>
        <x:v>0.6809127070547255</x:v>
      </x:c>
      <x:c r="L158" s="33"/>
    </x:row>
    <x:row r="159" ht="24" customHeight="1">
      <x:c r="A159" s="33"/>
      <x:c r="B159" s="47" t="str">
        <x:v>typesafe/jev-1.13</x:v>
      </x:c>
      <x:c r="C159" s="50" t="n">
        <x:v>0.8</x:v>
      </x:c>
      <x:c r="D159" s="52" t="n">
        <x:v>0.8204697986577181</x:v>
      </x:c>
      <x:c r="E159" s="50" t="n">
        <x:v>0.9287410926365796</x:v>
      </x:c>
      <x:c r="F159" s="50" t="n">
        <x:v>0.8594890510948905</x:v>
      </x:c>
      <x:c r="G159" s="50" t="n">
        <x:v>0.6698412698412698</x:v>
      </x:c>
      <x:c r="H159" s="52" t="n">
        <x:v>0.6524163568773235</x:v>
      </x:c>
      <x:c r="I159" s="50" t="n">
        <x:v>0.7489451476793249</x:v>
      </x:c>
      <x:c r="J159" s="50" t="n">
        <x:v>0.6235679214402619</x:v>
      </x:c>
      <x:c r="K159" s="50" t="n">
        <x:f>AVERAGE(C159:J159)</x:f>
        <x:v>0.762933829778421</x:v>
      </x:c>
      <x:c r="L159" s="33"/>
    </x:row>
    <x:row r="160" ht="24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</x:row>
    <x:row r="161" ht="24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</x:row>
    <x:row r="162" ht="29" customHeight="1">
      <x:c r="A162" s="33"/>
      <x:c r="B162" s="36" t="str">
        <x:v>TABLE 16.</x:v>
      </x:c>
      <x:c r="C162" s="37" t="str">
        <x:v>Emotion classification recall.</x:v>
      </x:c>
      <x:c r="D162" s="37"/>
      <x:c r="E162" s="37"/>
      <x:c r="F162" s="37"/>
      <x:c r="G162" s="37"/>
      <x:c r="H162" s="37"/>
      <x:c r="I162" s="37"/>
      <x:c r="J162" s="37"/>
      <x:c r="K162" s="37"/>
      <x:c r="L162" s="33"/>
    </x:row>
    <x:row r="163" ht="21" customHeight="1">
      <x:c r="A163" s="33"/>
      <x:c r="B163" s="38" t="str">
        <x:v>Türkiye: emotion_tr, n = 4,403</x:v>
      </x:c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3"/>
    </x:row>
    <x:row r="164" ht="9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</x:row>
    <x:row r="165" ht="42" customHeight="1">
      <x:c r="A165" s="33"/>
      <x:c r="B165" s="43" t="str">
        <x:v>Model</x:v>
      </x:c>
      <x:c r="C165" s="42" t="str">
        <x:v>iğrenme</x:v>
      </x:c>
      <x:c r="D165" s="42" t="str">
        <x:v>korku</x:v>
      </x:c>
      <x:c r="E165" s="42" t="str">
        <x:v>minnet</x:v>
      </x:c>
      <x:c r="F165" s="42" t="str">
        <x:v>pişmanlık</x:v>
      </x:c>
      <x:c r="G165" s="42" t="str">
        <x:v>mutluluk</x:v>
      </x:c>
      <x:c r="H165" s="42" t="str">
        <x:v>öfke</x:v>
      </x:c>
      <x:c r="I165" s="42" t="str">
        <x:v>şaşkınlık</x:v>
      </x:c>
      <x:c r="J165" s="42" t="str">
        <x:v>üzüntü</x:v>
      </x:c>
      <x:c r="K165" s="42" t="str">
        <x:v>Macro-
Recall</x:v>
      </x:c>
      <x:c r="L165" s="33"/>
    </x:row>
    <x:row r="166" ht="24" customHeight="1">
      <x:c r="A166" s="33"/>
      <x:c r="B166" s="44" t="str">
        <x:v>nimble:9b</x:v>
      </x:c>
      <x:c r="C166" s="49" t="n">
        <x:v>0.8620689655172413</x:v>
      </x:c>
      <x:c r="D166" s="49" t="n">
        <x:v>0.8257713248638838</x:v>
      </x:c>
      <x:c r="E166" s="49" t="n">
        <x:v>0.6981818181818182</x:v>
      </x:c>
      <x:c r="F166" s="49" t="n">
        <x:v>0.8472727272727273</x:v>
      </x:c>
      <x:c r="G166" s="49" t="n">
        <x:v>0.7054545454545454</x:v>
      </x:c>
      <x:c r="H166" s="49" t="n">
        <x:v>0.5535390199637024</x:v>
      </x:c>
      <x:c r="I166" s="49" t="n">
        <x:v>0.64</x:v>
      </x:c>
      <x:c r="J166" s="49" t="n">
        <x:v>0.5781818181818181</x:v>
      </x:c>
      <x:c r="K166" s="49" t="n">
        <x:f>AVERAGE(C166:J166)</x:f>
        <x:v>0.713808777429467</x:v>
      </x:c>
      <x:c r="L166" s="33"/>
    </x:row>
    <x:row r="167" ht="24" customHeight="1">
      <x:c r="A167" s="33"/>
      <x:c r="B167" s="44" t="str">
        <x:v>tev1:0.8b</x:v>
      </x:c>
      <x:c r="C167" s="49" t="n">
        <x:v>0.7731397459165155</x:v>
      </x:c>
      <x:c r="D167" s="49" t="n">
        <x:v>0.43738656987295826</x:v>
      </x:c>
      <x:c r="E167" s="49" t="n">
        <x:v>0.52</x:v>
      </x:c>
      <x:c r="F167" s="49" t="n">
        <x:v>0.7345454545454545</x:v>
      </x:c>
      <x:c r="G167" s="49" t="n">
        <x:v>0.5454545454545454</x:v>
      </x:c>
      <x:c r="H167" s="49" t="n">
        <x:v>0.16333938294010888</x:v>
      </x:c>
      <x:c r="I167" s="49" t="n">
        <x:v>0.25272727272727274</x:v>
      </x:c>
      <x:c r="J167" s="49" t="n">
        <x:v>0.13818181818181818</x:v>
      </x:c>
      <x:c r="K167" s="49" t="n">
        <x:f>AVERAGE(C167:J167)</x:f>
        <x:v>0.44559684870483424</x:v>
      </x:c>
      <x:c r="L167" s="33"/>
    </x:row>
    <x:row r="168" ht="24" customHeight="1">
      <x:c r="A168" s="33"/>
      <x:c r="B168" s="44" t="str">
        <x:v>tev1:4b</x:v>
      </x:c>
      <x:c r="C168" s="51" t="n">
        <x:v>0.8747731397459165</x:v>
      </x:c>
      <x:c r="D168" s="49" t="n">
        <x:v>0.7495462794918331</x:v>
      </x:c>
      <x:c r="E168" s="49" t="n">
        <x:v>0.6654545454545454</x:v>
      </x:c>
      <x:c r="F168" s="49" t="n">
        <x:v>0.7836363636363637</x:v>
      </x:c>
      <x:c r="G168" s="49" t="n">
        <x:v>0.6672727272727272</x:v>
      </x:c>
      <x:c r="H168" s="49" t="n">
        <x:v>0.35571687840290384</x:v>
      </x:c>
      <x:c r="I168" s="51" t="n">
        <x:v>0.6654545454545454</x:v>
      </x:c>
      <x:c r="J168" s="49" t="n">
        <x:v>0.5381818181818182</x:v>
      </x:c>
      <x:c r="K168" s="49" t="n">
        <x:f>AVERAGE(C168:J168)</x:f>
        <x:v>0.6625045372050816</x:v>
      </x:c>
      <x:c r="L168" s="33"/>
    </x:row>
    <x:row r="169" ht="24" customHeight="1">
      <x:c r="A169" s="33"/>
      <x:c r="B169" s="47" t="str">
        <x:v>typesafe/jev-1.13</x:v>
      </x:c>
      <x:c r="C169" s="52" t="n">
        <x:v>0.8493647912885662</x:v>
      </x:c>
      <x:c r="D169" s="50" t="n">
        <x:v>0.8874773139745916</x:v>
      </x:c>
      <x:c r="E169" s="50" t="n">
        <x:v>0.7109090909090909</x:v>
      </x:c>
      <x:c r="F169" s="50" t="n">
        <x:v>0.8563636363636363</x:v>
      </x:c>
      <x:c r="G169" s="50" t="n">
        <x:v>0.7672727272727272</x:v>
      </x:c>
      <x:c r="H169" s="50" t="n">
        <x:v>0.6370235934664247</x:v>
      </x:c>
      <x:c r="I169" s="52" t="n">
        <x:v>0.6454545454545455</x:v>
      </x:c>
      <x:c r="J169" s="50" t="n">
        <x:v>0.6927272727272727</x:v>
      </x:c>
      <x:c r="K169" s="50" t="n">
        <x:f>AVERAGE(C169:J169)</x:f>
        <x:v>0.7558241214321069</x:v>
      </x:c>
      <x:c r="L169" s="33"/>
    </x:row>
    <x:row r="170" ht="24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</x:row>
    <x:row r="171" ht="24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</x:row>
    <x:row r="172" ht="29" customHeight="1">
      <x:c r="A172" s="33"/>
      <x:c r="B172" s="36" t="str">
        <x:v>TABLE 17.</x:v>
      </x:c>
      <x:c r="C172" s="37" t="str">
        <x:v>Emotion classification F1.</x:v>
      </x:c>
      <x:c r="D172" s="37"/>
      <x:c r="E172" s="37"/>
      <x:c r="F172" s="37"/>
      <x:c r="G172" s="37"/>
      <x:c r="H172" s="37"/>
      <x:c r="I172" s="37"/>
      <x:c r="J172" s="37"/>
      <x:c r="K172" s="37"/>
      <x:c r="L172" s="33"/>
    </x:row>
    <x:row r="173" ht="21" customHeight="1">
      <x:c r="A173" s="33"/>
      <x:c r="B173" s="38" t="str">
        <x:v>Türkiye: emotion_tr, n = 4,403</x:v>
      </x:c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3"/>
    </x:row>
    <x:row r="174" ht="9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</x:row>
    <x:row r="175" ht="42" customHeight="1">
      <x:c r="A175" s="33"/>
      <x:c r="B175" s="43" t="str">
        <x:v>Model</x:v>
      </x:c>
      <x:c r="C175" s="42" t="str">
        <x:v>iğrenme</x:v>
      </x:c>
      <x:c r="D175" s="42" t="str">
        <x:v>korku</x:v>
      </x:c>
      <x:c r="E175" s="42" t="str">
        <x:v>minnet</x:v>
      </x:c>
      <x:c r="F175" s="42" t="str">
        <x:v>pişmanlık</x:v>
      </x:c>
      <x:c r="G175" s="42" t="str">
        <x:v>mutluluk</x:v>
      </x:c>
      <x:c r="H175" s="42" t="str">
        <x:v>öfke</x:v>
      </x:c>
      <x:c r="I175" s="42" t="str">
        <x:v>şaşkınlık</x:v>
      </x:c>
      <x:c r="J175" s="42" t="str">
        <x:v>üzüntü</x:v>
      </x:c>
      <x:c r="K175" s="42" t="str">
        <x:v>Macro-F1</x:v>
      </x:c>
      <x:c r="L175" s="33"/>
    </x:row>
    <x:row r="176" ht="24" customHeight="1">
      <x:c r="A176" s="33"/>
      <x:c r="B176" s="44" t="str">
        <x:v>nimble:9b</x:v>
      </x:c>
      <x:c r="C176" s="49" t="n">
        <x:v>0.76</x:v>
      </x:c>
      <x:c r="D176" s="49" t="n">
        <x:v>0.8154121863799283</x:v>
      </x:c>
      <x:c r="E176" s="49" t="n">
        <x:v>0.7703109327983951</x:v>
      </x:c>
      <x:c r="F176" s="49" t="n">
        <x:v>0.8168273444347064</x:v>
      </x:c>
      <x:c r="G176" s="49" t="n">
        <x:v>0.6678141135972461</x:v>
      </x:c>
      <x:c r="H176" s="49" t="n">
        <x:v>0.6003937007874016</x:v>
      </x:c>
      <x:c r="I176" s="49" t="n">
        <x:v>0.6616541353383458</x:v>
      </x:c>
      <x:c r="J176" s="49" t="n">
        <x:v>0.6</x:v>
      </x:c>
      <x:c r="K176" s="49" t="n">
        <x:f>AVERAGE(C176:J176)</x:f>
        <x:v>0.711551551667003</x:v>
      </x:c>
      <x:c r="L176" s="33"/>
    </x:row>
    <x:row r="177" ht="24" customHeight="1">
      <x:c r="A177" s="33"/>
      <x:c r="B177" s="44" t="str">
        <x:v>tev1:0.8b</x:v>
      </x:c>
      <x:c r="C177" s="49" t="n">
        <x:v>0.3551479783243018</x:v>
      </x:c>
      <x:c r="D177" s="49" t="n">
        <x:v>0.5758661887694145</x:v>
      </x:c>
      <x:c r="E177" s="49" t="n">
        <x:v>0.6426966292134831</x:v>
      </x:c>
      <x:c r="F177" s="49" t="n">
        <x:v>0.6025354213273676</x:v>
      </x:c>
      <x:c r="G177" s="49" t="n">
        <x:v>0.5286343612334802</x:v>
      </x:c>
      <x:c r="H177" s="49" t="n">
        <x:v>0.2459016393442623</x:v>
      </x:c>
      <x:c r="I177" s="49" t="n">
        <x:v>0.3726541554959786</x:v>
      </x:c>
      <x:c r="J177" s="49" t="n">
        <x:v>0.209366391184573</x:v>
      </x:c>
      <x:c r="K177" s="49" t="n">
        <x:f>AVERAGE(C177:J177)</x:f>
        <x:v>0.44160034561160766</x:v>
      </x:c>
      <x:c r="L177" s="33"/>
    </x:row>
    <x:row r="178" ht="24" customHeight="1">
      <x:c r="A178" s="33"/>
      <x:c r="B178" s="44" t="str">
        <x:v>tev1:4b</x:v>
      </x:c>
      <x:c r="C178" s="49" t="n">
        <x:v>0.6584699453551912</x:v>
      </x:c>
      <x:c r="D178" s="49" t="n">
        <x:v>0.779245283018868</x:v>
      </x:c>
      <x:c r="E178" s="49" t="n">
        <x:v>0.746938775510204</x:v>
      </x:c>
      <x:c r="F178" s="49" t="n">
        <x:v>0.7669039145907474</x:v>
      </x:c>
      <x:c r="G178" s="49" t="n">
        <x:v>0.6455584872471416</x:v>
      </x:c>
      <x:c r="H178" s="49" t="n">
        <x:v>0.4677804295942721</x:v>
      </x:c>
      <x:c r="I178" s="49" t="n">
        <x:v>0.6393013100436681</x:v>
      </x:c>
      <x:c r="J178" s="49" t="n">
        <x:v>0.5595463137996219</x:v>
      </x:c>
      <x:c r="K178" s="49" t="n">
        <x:f>AVERAGE(C178:J178)</x:f>
        <x:v>0.6579680573949642</x:v>
      </x:c>
      <x:c r="L178" s="33"/>
    </x:row>
    <x:row r="179" ht="24" customHeight="1">
      <x:c r="A179" s="33"/>
      <x:c r="B179" s="47" t="str">
        <x:v>typesafe/jev-1.13</x:v>
      </x:c>
      <x:c r="C179" s="50" t="n">
        <x:v>0.823943661971831</x:v>
      </x:c>
      <x:c r="D179" s="50" t="n">
        <x:v>0.8526591107236269</x:v>
      </x:c>
      <x:c r="E179" s="50" t="n">
        <x:v>0.8053553038105047</x:v>
      </x:c>
      <x:c r="F179" s="50" t="n">
        <x:v>0.8579234972677595</x:v>
      </x:c>
      <x:c r="G179" s="50" t="n">
        <x:v>0.7152542372881356</x:v>
      </x:c>
      <x:c r="H179" s="50" t="n">
        <x:v>0.6446280991735537</x:v>
      </x:c>
      <x:c r="I179" s="50" t="n">
        <x:v>0.693359375</x:v>
      </x:c>
      <x:c r="J179" s="50" t="n">
        <x:v>0.6563307493540051</x:v>
      </x:c>
      <x:c r="K179" s="50" t="n">
        <x:f>AVERAGE(C179:J179)</x:f>
        <x:v>0.7561817543236771</x:v>
      </x:c>
      <x:c r="L179" s="33"/>
    </x:row>
    <x:row r="180" ht="24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</x:row>
    <x:row r="181" ht="24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</x:row>
    <x:row r="182" ht="29" customHeight="1">
      <x:c r="A182" s="33"/>
      <x:c r="B182" s="36" t="str">
        <x:v>TABLE 18.</x:v>
      </x:c>
      <x:c r="C182" s="37" t="str">
        <x:v>Emotion classification support.</x:v>
      </x:c>
      <x:c r="D182" s="37"/>
      <x:c r="E182" s="37"/>
      <x:c r="F182" s="37"/>
      <x:c r="G182" s="37"/>
      <x:c r="H182" s="37"/>
      <x:c r="I182" s="37"/>
      <x:c r="J182" s="37"/>
      <x:c r="K182" s="37"/>
      <x:c r="L182" s="33"/>
    </x:row>
    <x:row r="183" ht="21" customHeight="1">
      <x:c r="A183" s="33"/>
      <x:c r="B183" s="38" t="str">
        <x:v>Türkiye: emotion_tr, n = 4,403</x:v>
      </x:c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3"/>
    </x:row>
    <x:row r="184" ht="9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</x:row>
    <x:row r="185" ht="42" customHeight="1">
      <x:c r="A185" s="33"/>
      <x:c r="B185" s="43" t="str">
        <x:v>Model</x:v>
      </x:c>
      <x:c r="C185" s="42" t="str">
        <x:v>iğrenme</x:v>
      </x:c>
      <x:c r="D185" s="42" t="str">
        <x:v>korku</x:v>
      </x:c>
      <x:c r="E185" s="42" t="str">
        <x:v>minnet</x:v>
      </x:c>
      <x:c r="F185" s="42" t="str">
        <x:v>pişmanlık</x:v>
      </x:c>
      <x:c r="G185" s="42" t="str">
        <x:v>mutluluk</x:v>
      </x:c>
      <x:c r="H185" s="42" t="str">
        <x:v>öfke</x:v>
      </x:c>
      <x:c r="I185" s="42" t="str">
        <x:v>şaşkınlık</x:v>
      </x:c>
      <x:c r="J185" s="42" t="str">
        <x:v>üzüntü</x:v>
      </x:c>
      <x:c r="K185" s="42" t="str">
        <x:v>Total</x:v>
      </x:c>
      <x:c r="L185" s="33"/>
    </x:row>
    <x:row r="186" ht="24" customHeight="1">
      <x:c r="A186" s="33"/>
      <x:c r="B186" s="44" t="str">
        <x:v>nimble:9b</x:v>
      </x:c>
      <x:c r="C186" s="53" t="n">
        <x:v>551</x:v>
      </x:c>
      <x:c r="D186" s="53" t="n">
        <x:v>551</x:v>
      </x:c>
      <x:c r="E186" s="53" t="n">
        <x:v>550</x:v>
      </x:c>
      <x:c r="F186" s="53" t="n">
        <x:v>550</x:v>
      </x:c>
      <x:c r="G186" s="53" t="n">
        <x:v>550</x:v>
      </x:c>
      <x:c r="H186" s="53" t="n">
        <x:v>551</x:v>
      </x:c>
      <x:c r="I186" s="53" t="n">
        <x:v>550</x:v>
      </x:c>
      <x:c r="J186" s="53" t="n">
        <x:v>550</x:v>
      </x:c>
      <x:c r="K186" s="53" t="n">
        <x:f>SUM(C186:J186)</x:f>
        <x:v>4403</x:v>
      </x:c>
      <x:c r="L186" s="33"/>
    </x:row>
    <x:row r="187" ht="24" customHeight="1">
      <x:c r="A187" s="33"/>
      <x:c r="B187" s="44" t="str">
        <x:v>tev1:0.8b</x:v>
      </x:c>
      <x:c r="C187" s="53" t="n">
        <x:v>551</x:v>
      </x:c>
      <x:c r="D187" s="53" t="n">
        <x:v>551</x:v>
      </x:c>
      <x:c r="E187" s="53" t="n">
        <x:v>550</x:v>
      </x:c>
      <x:c r="F187" s="53" t="n">
        <x:v>550</x:v>
      </x:c>
      <x:c r="G187" s="53" t="n">
        <x:v>550</x:v>
      </x:c>
      <x:c r="H187" s="53" t="n">
        <x:v>551</x:v>
      </x:c>
      <x:c r="I187" s="53" t="n">
        <x:v>550</x:v>
      </x:c>
      <x:c r="J187" s="53" t="n">
        <x:v>550</x:v>
      </x:c>
      <x:c r="K187" s="53" t="n">
        <x:f>SUM(C187:J187)</x:f>
        <x:v>4403</x:v>
      </x:c>
      <x:c r="L187" s="33"/>
    </x:row>
    <x:row r="188" ht="24" customHeight="1">
      <x:c r="A188" s="33"/>
      <x:c r="B188" s="44" t="str">
        <x:v>tev1:4b</x:v>
      </x:c>
      <x:c r="C188" s="53" t="n">
        <x:v>551</x:v>
      </x:c>
      <x:c r="D188" s="53" t="n">
        <x:v>551</x:v>
      </x:c>
      <x:c r="E188" s="53" t="n">
        <x:v>550</x:v>
      </x:c>
      <x:c r="F188" s="53" t="n">
        <x:v>550</x:v>
      </x:c>
      <x:c r="G188" s="53" t="n">
        <x:v>550</x:v>
      </x:c>
      <x:c r="H188" s="53" t="n">
        <x:v>551</x:v>
      </x:c>
      <x:c r="I188" s="53" t="n">
        <x:v>550</x:v>
      </x:c>
      <x:c r="J188" s="53" t="n">
        <x:v>550</x:v>
      </x:c>
      <x:c r="K188" s="53" t="n">
        <x:f>SUM(C188:J188)</x:f>
        <x:v>4403</x:v>
      </x:c>
      <x:c r="L188" s="33"/>
    </x:row>
    <x:row r="189" ht="24" customHeight="1">
      <x:c r="A189" s="33"/>
      <x:c r="B189" s="47" t="str">
        <x:v>typesafe/jev-1.13</x:v>
      </x:c>
      <x:c r="C189" s="54" t="n">
        <x:v>551</x:v>
      </x:c>
      <x:c r="D189" s="54" t="n">
        <x:v>551</x:v>
      </x:c>
      <x:c r="E189" s="54" t="n">
        <x:v>550</x:v>
      </x:c>
      <x:c r="F189" s="54" t="n">
        <x:v>550</x:v>
      </x:c>
      <x:c r="G189" s="54" t="n">
        <x:v>550</x:v>
      </x:c>
      <x:c r="H189" s="54" t="n">
        <x:v>551</x:v>
      </x:c>
      <x:c r="I189" s="54" t="n">
        <x:v>550</x:v>
      </x:c>
      <x:c r="J189" s="54" t="n">
        <x:v>550</x:v>
      </x:c>
      <x:c r="K189" s="54" t="n">
        <x:f>SUM(C189:J189)</x:f>
        <x:v>4403</x:v>
      </x:c>
      <x:c r="L189" s="33"/>
    </x:row>
    <x:row r="190" ht="24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</x:row>
    <x:row r="191" ht="24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</x:row>
    <x:row r="192" ht="23" customHeight="1">
      <x:c r="A192" s="33"/>
      <x:c r="B192" s="38" t="str">
        <x:v>Macro-Precision, Macro-Recall and Macro-F1 are unweighted averages across the classes shown.</x:v>
      </x:c>
      <x:c r="C192" s="38"/>
      <x:c r="D192" s="38"/>
      <x:c r="E192" s="38"/>
      <x:c r="F192" s="38"/>
      <x:c r="G192" s="38"/>
      <x:c r="H192" s="38"/>
      <x:c r="I192" s="38"/>
      <x:c r="J192" s="33"/>
      <x:c r="K192" s="33"/>
      <x:c r="L192" s="33"/>
    </x:row>
    <x:row r="193" ht="23" customHeight="1">
      <x:c r="A193" s="33"/>
      <x:c r="B193" s="38" t="str">
        <x:v>Support is the number of true examples in each class. Total support is calculated across classes.</x:v>
      </x:c>
      <x:c r="C193" s="38"/>
      <x:c r="D193" s="38"/>
      <x:c r="E193" s="38"/>
      <x:c r="F193" s="38"/>
      <x:c r="G193" s="38"/>
      <x:c r="H193" s="38"/>
      <x:c r="I193" s="38"/>
      <x:c r="J193" s="33"/>
      <x:c r="K193" s="33"/>
      <x:c r="L193" s="33"/>
    </x:row>
    <x:row r="194" ht="23" customHeight="1">
      <x:c r="A194" s="33"/>
      <x:c r="B194" s="38" t="str">
        <x:v>Best scores are bold within each country and class; ties are included. Original class labels are retained.</x:v>
      </x:c>
      <x:c r="C194" s="38"/>
      <x:c r="D194" s="38"/>
      <x:c r="E194" s="38"/>
      <x:c r="F194" s="38"/>
      <x:c r="G194" s="38"/>
      <x:c r="H194" s="38"/>
      <x:c r="I194" s="38"/>
      <x:c r="J194" s="33"/>
      <x:c r="K194" s="33"/>
      <x:c r="L194" s="33"/>
    </x:row>
    <x:row r="195" ht="24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</x:row>
    <x:row r="196" ht="24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</x:row>
    <x:row r="197" ht="24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</x:row>
    <x:row r="198" ht="24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</x:row>
    <x:row r="199" ht="24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</x:row>
    <x:row r="200" ht="24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</x:row>
    <x:row r="201" ht="24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</x:row>
    <x:row r="202" ht="24" customHeight="1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</x:row>
    <x:row r="203" ht="24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</x:row>
    <x:row r="204" ht="24" customHeight="1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</x:row>
    <x:row r="205" ht="24" customHeight="1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</x:row>
    <x:row r="206" ht="24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</x:row>
    <x:row r="207" ht="24" customHeight="1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</x:row>
    <x:row r="208" ht="24" customHeight="1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</x:row>
    <x:row r="209" ht="24" customHeight="1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</x:row>
    <x:row r="210" ht="24" customHeight="1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</x:row>
    <x:row r="211" ht="24" customHeight="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</x:row>
    <x:row r="212" ht="24" customHeight="1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</x:row>
    <x:row r="213" ht="24" customHeight="1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</x:row>
    <x:row r="214" ht="24" customHeight="1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</x:row>
    <x:row r="215" ht="24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</x:row>
    <x:row r="216" ht="24" customHeight="1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</x:row>
    <x:row r="217" ht="24" customHeight="1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</x:row>
    <x:row r="218" ht="24" customHeight="1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</x:row>
    <x:row r="219" ht="24" customHeight="1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</x:row>
    <x:row r="220" ht="24" customHeight="1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</x:row>
    <x:row r="221" ht="24" customHeight="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</x:row>
    <x:row r="222" ht="24" customHeight="1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</x:row>
    <x:row r="223" ht="24" customHeight="1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</x:row>
    <x:row r="224" ht="24" customHeight="1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</x:row>
    <x:row r="225" ht="24" customHeight="1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</x:row>
    <x:row r="226" ht="24" customHeight="1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</x:row>
    <x:row r="227" ht="24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</x:row>
    <x:row r="228" ht="24" customHeight="1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</x:row>
    <x:row r="229" ht="24" customHeight="1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</x:row>
    <x:row r="230" ht="24" customHeight="1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</x:row>
    <x:row r="231" ht="24" customHeight="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</x:row>
    <x:row r="232" ht="24" customHeight="1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</x:row>
    <x:row r="233" ht="24" customHeight="1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</x:row>
    <x:row r="234" ht="24" customHeight="1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</x:row>
    <x:row r="235" ht="24" customHeight="1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</x:row>
    <x:row r="236" ht="24" customHeight="1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</x:row>
    <x:row r="237" ht="24" customHeight="1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</x:row>
    <x:row r="238" ht="24" customHeight="1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</x:row>
    <x:row r="239" ht="24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</x:row>
    <x:row r="240" ht="24" customHeight="1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</x:row>
    <x:row r="241" ht="24" customHeight="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</x:row>
    <x:row r="242" ht="24" customHeight="1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</x:row>
    <x:row r="243" ht="24" customHeight="1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</x:row>
    <x:row r="244" ht="24" customHeight="1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</x:row>
    <x:row r="245" ht="24" customHeight="1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</x:row>
    <x:row r="246" ht="24" customHeight="1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</x:row>
    <x:row r="247" ht="24" customHeight="1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</x:row>
    <x:row r="248" ht="24" customHeight="1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</x:row>
    <x:row r="249" ht="24" customHeight="1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</x:row>
    <x:row r="250" ht="24" customHeight="1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</x:row>
    <x:row r="251" ht="24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</x:row>
    <x:row r="252" ht="24" customHeight="1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</x:row>
    <x:row r="253" ht="24" customHeight="1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</x:row>
    <x:row r="254" ht="24" customHeight="1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</x:row>
    <x:row r="255" ht="24" customHeight="1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</x:row>
    <x:row r="256" ht="24" customHeight="1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</x:row>
    <x:row r="257" ht="24" customHeight="1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</x:row>
    <x:row r="258" ht="24" customHeight="1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</x:row>
    <x:row r="259" ht="24" customHeight="1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</x:row>
    <x:row r="260" ht="24" customHeight="1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</x:row>
    <x:row r="261" ht="24" customHeight="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</x:row>
    <x:row r="262" ht="24" customHeight="1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</x:row>
    <x:row r="263" ht="24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</x:row>
    <x:row r="264" ht="24" customHeight="1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</x:row>
    <x:row r="265" ht="24" customHeight="1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</x:row>
    <x:row r="266" ht="24" customHeight="1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</x:row>
    <x:row r="267" ht="24" customHeight="1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</x:row>
    <x:row r="268" ht="24" customHeight="1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</x:row>
    <x:row r="269" ht="24" customHeight="1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</x:row>
    <x:row r="270" ht="24" customHeight="1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</x:row>
    <x:row r="271" ht="24" customHeight="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</x:row>
    <x:row r="272" ht="24" customHeight="1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</x:row>
    <x:row r="273" ht="24" customHeight="1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</x:row>
    <x:row r="274" ht="24" customHeight="1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</x:row>
    <x:row r="275" ht="24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</x:row>
    <x:row r="276" ht="24" customHeight="1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</x:row>
    <x:row r="277" ht="24" customHeight="1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</x:row>
    <x:row r="278" ht="24" customHeight="1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</x:row>
    <x:row r="279" ht="24" customHeight="1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</x:row>
    <x:row r="280" ht="24" customHeight="1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</x:row>
    <x:row r="281" ht="24" customHeight="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</x:row>
    <x:row r="282" ht="24" customHeight="1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</x:row>
    <x:row r="283" ht="24" customHeight="1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</x:row>
    <x:row r="284" ht="24" customHeight="1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</x:row>
    <x:row r="285" ht="24" customHeight="1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</x:row>
    <x:row r="286" ht="24" customHeight="1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</x:row>
    <x:row r="287" ht="24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</x:row>
    <x:row r="288" ht="24" customHeight="1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</x:row>
    <x:row r="289" ht="24" customHeight="1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</x:row>
    <x:row r="290" ht="24" customHeight="1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</x:row>
    <x:row r="291" ht="24" customHeight="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</x:row>
    <x:row r="292" ht="24" customHeight="1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</x:row>
    <x:row r="293" ht="24" customHeight="1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</x:row>
    <x:row r="294" ht="24" customHeight="1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</x:row>
    <x:row r="295" ht="24" customHeight="1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</x:row>
    <x:row r="296" ht="24" customHeight="1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</x:row>
    <x:row r="297" ht="24" customHeight="1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</x:row>
    <x:row r="298" ht="24" customHeight="1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</x:row>
    <x:row r="299" ht="24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</x:row>
    <x:row r="300" ht="24" customHeight="1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</x:row>
  </x:sheetData>
  <x:mergeCells>
    <x:mergeCell ref="C2:F2"/>
    <x:mergeCell ref="B3:F3"/>
    <x:mergeCell ref="C12:F12"/>
    <x:mergeCell ref="B13:F13"/>
    <x:mergeCell ref="C22:F22"/>
    <x:mergeCell ref="B23:F23"/>
    <x:mergeCell ref="C32:F32"/>
    <x:mergeCell ref="B33:F33"/>
    <x:mergeCell ref="C42:G42"/>
    <x:mergeCell ref="B43:G43"/>
    <x:mergeCell ref="C52:G52"/>
    <x:mergeCell ref="B53:G53"/>
    <x:mergeCell ref="C62:E62"/>
    <x:mergeCell ref="B63:E63"/>
    <x:mergeCell ref="C72:E72"/>
    <x:mergeCell ref="B73:E73"/>
    <x:mergeCell ref="C82:H82"/>
    <x:mergeCell ref="B83:H83"/>
    <x:mergeCell ref="C92:H92"/>
    <x:mergeCell ref="B93:H93"/>
    <x:mergeCell ref="B102:H102"/>
    <x:mergeCell ref="B103:H103"/>
    <x:mergeCell ref="B104:H104"/>
    <x:mergeCell ref="B105:H105"/>
    <x:mergeCell ref="B106:H106"/>
    <x:mergeCell ref="B107:H107"/>
    <x:mergeCell ref="C112:F112"/>
    <x:mergeCell ref="B113:F113"/>
    <x:mergeCell ref="C122:F122"/>
    <x:mergeCell ref="B123:F123"/>
    <x:mergeCell ref="C132:F132"/>
    <x:mergeCell ref="B133:F133"/>
    <x:mergeCell ref="C142:F142"/>
    <x:mergeCell ref="B143:F143"/>
    <x:mergeCell ref="C152:K152"/>
    <x:mergeCell ref="B153:K153"/>
    <x:mergeCell ref="C162:K162"/>
    <x:mergeCell ref="B163:K163"/>
    <x:mergeCell ref="C172:K172"/>
    <x:mergeCell ref="B173:K173"/>
    <x:mergeCell ref="C182:K182"/>
    <x:mergeCell ref="B183:K183"/>
    <x:mergeCell ref="B192:I192"/>
    <x:mergeCell ref="B193:I193"/>
    <x:mergeCell ref="B194:I194"/>
  </x:mergeCells>
  <x:conditionalFormatting sqref="C6:C9">
    <x:cfRule type="expression" dxfId="0" priority="1">
      <x:formula>C6=MAX(C$6:C$9)</x:formula>
    </x:cfRule>
    <x:cfRule type="expression" dxfId="1" priority="2">
      <x:formula>C6&lt;&gt;MAX(C$6:C$9)</x:formula>
    </x:cfRule>
  </x:conditionalFormatting>
  <x:conditionalFormatting sqref="D6:D9">
    <x:cfRule type="expression" dxfId="2" priority="3">
      <x:formula>D6=MAX(D$6:D$9)</x:formula>
    </x:cfRule>
    <x:cfRule type="expression" dxfId="3" priority="4">
      <x:formula>D6&lt;&gt;MAX(D$6:D$9)</x:formula>
    </x:cfRule>
  </x:conditionalFormatting>
  <x:conditionalFormatting sqref="E6:E9">
    <x:cfRule type="expression" dxfId="4" priority="5">
      <x:formula>E6=MAX(E$6:E$9)</x:formula>
    </x:cfRule>
    <x:cfRule type="expression" dxfId="5" priority="6">
      <x:formula>E6&lt;&gt;MAX(E$6:E$9)</x:formula>
    </x:cfRule>
  </x:conditionalFormatting>
  <x:conditionalFormatting sqref="F6:F9">
    <x:cfRule type="expression" dxfId="6" priority="7">
      <x:formula>F6=MAX(F$6:F$9)</x:formula>
    </x:cfRule>
    <x:cfRule type="expression" dxfId="7" priority="8">
      <x:formula>F6&lt;&gt;MAX(F$6:F$9)</x:formula>
    </x:cfRule>
  </x:conditionalFormatting>
  <x:conditionalFormatting sqref="C16:C19">
    <x:cfRule type="expression" dxfId="8" priority="9">
      <x:formula>C16=MAX(C$16:C$19)</x:formula>
    </x:cfRule>
    <x:cfRule type="expression" dxfId="9" priority="10">
      <x:formula>C16&lt;&gt;MAX(C$16:C$19)</x:formula>
    </x:cfRule>
  </x:conditionalFormatting>
  <x:conditionalFormatting sqref="D16:D19">
    <x:cfRule type="expression" dxfId="10" priority="11">
      <x:formula>D16=MAX(D$16:D$19)</x:formula>
    </x:cfRule>
    <x:cfRule type="expression" dxfId="11" priority="12">
      <x:formula>D16&lt;&gt;MAX(D$16:D$19)</x:formula>
    </x:cfRule>
  </x:conditionalFormatting>
  <x:conditionalFormatting sqref="E16:E19">
    <x:cfRule type="expression" dxfId="12" priority="13">
      <x:formula>E16=MAX(E$16:E$19)</x:formula>
    </x:cfRule>
    <x:cfRule type="expression" dxfId="13" priority="14">
      <x:formula>E16&lt;&gt;MAX(E$16:E$19)</x:formula>
    </x:cfRule>
  </x:conditionalFormatting>
  <x:conditionalFormatting sqref="F16:F19">
    <x:cfRule type="expression" dxfId="14" priority="15">
      <x:formula>F16=MAX(F$16:F$19)</x:formula>
    </x:cfRule>
    <x:cfRule type="expression" dxfId="15" priority="16">
      <x:formula>F16&lt;&gt;MAX(F$16:F$19)</x:formula>
    </x:cfRule>
  </x:conditionalFormatting>
  <x:conditionalFormatting sqref="C46:C49">
    <x:cfRule type="expression" dxfId="16" priority="17">
      <x:formula>C46=MIN(C$46:C$49)</x:formula>
    </x:cfRule>
    <x:cfRule type="expression" dxfId="17" priority="18">
      <x:formula>C46&lt;&gt;MIN(C$46:C$49)</x:formula>
    </x:cfRule>
  </x:conditionalFormatting>
  <x:conditionalFormatting sqref="D46:D49">
    <x:cfRule type="expression" dxfId="18" priority="19">
      <x:formula>D46=MIN(D$46:D$49)</x:formula>
    </x:cfRule>
    <x:cfRule type="expression" dxfId="19" priority="20">
      <x:formula>D46&lt;&gt;MIN(D$46:D$49)</x:formula>
    </x:cfRule>
  </x:conditionalFormatting>
  <x:conditionalFormatting sqref="E46:E49">
    <x:cfRule type="expression" dxfId="20" priority="21">
      <x:formula>E46=MIN(E$46:E$49)</x:formula>
    </x:cfRule>
    <x:cfRule type="expression" dxfId="21" priority="22">
      <x:formula>E46&lt;&gt;MIN(E$46:E$49)</x:formula>
    </x:cfRule>
  </x:conditionalFormatting>
  <x:conditionalFormatting sqref="F46:F49">
    <x:cfRule type="expression" dxfId="22" priority="23">
      <x:formula>F46=MAX(F$46:F$49)</x:formula>
    </x:cfRule>
    <x:cfRule type="expression" dxfId="23" priority="24">
      <x:formula>F46&lt;&gt;MAX(F$46:F$49)</x:formula>
    </x:cfRule>
  </x:conditionalFormatting>
  <x:conditionalFormatting sqref="C56:C59">
    <x:cfRule type="expression" dxfId="24" priority="25">
      <x:formula>C56=MIN(C$56:C$59)</x:formula>
    </x:cfRule>
    <x:cfRule type="expression" dxfId="25" priority="26">
      <x:formula>C56&lt;&gt;MIN(C$56:C$59)</x:formula>
    </x:cfRule>
  </x:conditionalFormatting>
  <x:conditionalFormatting sqref="D56:D59">
    <x:cfRule type="expression" dxfId="26" priority="27">
      <x:formula>D56=MIN(D$56:D$59)</x:formula>
    </x:cfRule>
    <x:cfRule type="expression" dxfId="27" priority="28">
      <x:formula>D56&lt;&gt;MIN(D$56:D$59)</x:formula>
    </x:cfRule>
  </x:conditionalFormatting>
  <x:conditionalFormatting sqref="E56:E59">
    <x:cfRule type="expression" dxfId="28" priority="29">
      <x:formula>E56=MIN(E$56:E$59)</x:formula>
    </x:cfRule>
    <x:cfRule type="expression" dxfId="29" priority="30">
      <x:formula>E56&lt;&gt;MIN(E$56:E$59)</x:formula>
    </x:cfRule>
  </x:conditionalFormatting>
  <x:conditionalFormatting sqref="F56:F59">
    <x:cfRule type="expression" dxfId="30" priority="31">
      <x:formula>F56=MAX(F$56:F$59)</x:formula>
    </x:cfRule>
    <x:cfRule type="expression" dxfId="31" priority="32">
      <x:formula>F56&lt;&gt;MAX(F$56:F$59)</x:formula>
    </x:cfRule>
  </x:conditionalFormatting>
  <x:conditionalFormatting sqref="C66:C69">
    <x:cfRule type="expression" dxfId="32" priority="33">
      <x:formula>C66=MIN(C$66:C$69)</x:formula>
    </x:cfRule>
    <x:cfRule type="expression" dxfId="33" priority="34">
      <x:formula>C66&lt;&gt;MIN(C$66:C$69)</x:formula>
    </x:cfRule>
  </x:conditionalFormatting>
  <x:conditionalFormatting sqref="D66:D69">
    <x:cfRule type="expression" dxfId="34" priority="35">
      <x:formula>D66=MIN(D$66:D$69)</x:formula>
    </x:cfRule>
    <x:cfRule type="expression" dxfId="35" priority="36">
      <x:formula>D66&lt;&gt;MIN(D$66:D$69)</x:formula>
    </x:cfRule>
  </x:conditionalFormatting>
  <x:conditionalFormatting sqref="E66:E69">
    <x:cfRule type="expression" dxfId="36" priority="37">
      <x:formula>E66=MIN(E$66:E$69)</x:formula>
    </x:cfRule>
    <x:cfRule type="expression" dxfId="37" priority="38">
      <x:formula>E66&lt;&gt;MIN(E$66:E$69)</x:formula>
    </x:cfRule>
  </x:conditionalFormatting>
  <x:conditionalFormatting sqref="C76:C79">
    <x:cfRule type="expression" dxfId="38" priority="39">
      <x:formula>C76=MIN(C$76:C$79)</x:formula>
    </x:cfRule>
    <x:cfRule type="expression" dxfId="39" priority="40">
      <x:formula>C76&lt;&gt;MIN(C$76:C$79)</x:formula>
    </x:cfRule>
  </x:conditionalFormatting>
  <x:conditionalFormatting sqref="D76:D79">
    <x:cfRule type="expression" dxfId="40" priority="41">
      <x:formula>D76=MIN(D$76:D$79)</x:formula>
    </x:cfRule>
    <x:cfRule type="expression" dxfId="41" priority="42">
      <x:formula>D76&lt;&gt;MIN(D$76:D$79)</x:formula>
    </x:cfRule>
  </x:conditionalFormatting>
  <x:conditionalFormatting sqref="E76:E79">
    <x:cfRule type="expression" dxfId="42" priority="43">
      <x:formula>E76=MIN(E$76:E$79)</x:formula>
    </x:cfRule>
    <x:cfRule type="expression" dxfId="43" priority="44">
      <x:formula>E76&lt;&gt;MIN(E$76:E$79)</x:formula>
    </x:cfRule>
  </x:conditionalFormatting>
  <x:conditionalFormatting sqref="C116:C119">
    <x:cfRule type="expression" dxfId="176" priority="45">
      <x:formula>C116=MAX(C$116:C$119)</x:formula>
    </x:cfRule>
    <x:cfRule type="expression" dxfId="177" priority="46">
      <x:formula>C116&lt;&gt;MAX(C$116:C$119)</x:formula>
    </x:cfRule>
  </x:conditionalFormatting>
  <x:conditionalFormatting sqref="D116:D119">
    <x:cfRule type="expression" dxfId="178" priority="47">
      <x:formula>D116=MAX(D$116:D$119)</x:formula>
    </x:cfRule>
    <x:cfRule type="expression" dxfId="179" priority="48">
      <x:formula>D116&lt;&gt;MAX(D$116:D$119)</x:formula>
    </x:cfRule>
  </x:conditionalFormatting>
  <x:conditionalFormatting sqref="E116:E119">
    <x:cfRule type="expression" dxfId="180" priority="49">
      <x:formula>E116=MAX(E$116:E$119)</x:formula>
    </x:cfRule>
    <x:cfRule type="expression" dxfId="181" priority="50">
      <x:formula>E116&lt;&gt;MAX(E$116:E$119)</x:formula>
    </x:cfRule>
  </x:conditionalFormatting>
  <x:conditionalFormatting sqref="F116:F119">
    <x:cfRule type="expression" dxfId="182" priority="51">
      <x:formula>F116=MAX(F$116:F$119)</x:formula>
    </x:cfRule>
    <x:cfRule type="expression" dxfId="183" priority="52">
      <x:formula>F116&lt;&gt;MAX(F$116:F$119)</x:formula>
    </x:cfRule>
  </x:conditionalFormatting>
  <x:conditionalFormatting sqref="C126:C129">
    <x:cfRule type="expression" dxfId="184" priority="53">
      <x:formula>C126=MAX(C$126:C$129)</x:formula>
    </x:cfRule>
    <x:cfRule type="expression" dxfId="185" priority="54">
      <x:formula>C126&lt;&gt;MAX(C$126:C$129)</x:formula>
    </x:cfRule>
  </x:conditionalFormatting>
  <x:conditionalFormatting sqref="D126:D129">
    <x:cfRule type="expression" dxfId="186" priority="55">
      <x:formula>D126=MAX(D$126:D$129)</x:formula>
    </x:cfRule>
    <x:cfRule type="expression" dxfId="187" priority="56">
      <x:formula>D126&lt;&gt;MAX(D$126:D$129)</x:formula>
    </x:cfRule>
  </x:conditionalFormatting>
  <x:conditionalFormatting sqref="E126:E129">
    <x:cfRule type="expression" dxfId="188" priority="57">
      <x:formula>E126=MAX(E$126:E$129)</x:formula>
    </x:cfRule>
    <x:cfRule type="expression" dxfId="189" priority="58">
      <x:formula>E126&lt;&gt;MAX(E$126:E$129)</x:formula>
    </x:cfRule>
  </x:conditionalFormatting>
  <x:conditionalFormatting sqref="F126:F129">
    <x:cfRule type="expression" dxfId="190" priority="59">
      <x:formula>F126=MAX(F$126:F$129)</x:formula>
    </x:cfRule>
    <x:cfRule type="expression" dxfId="191" priority="60">
      <x:formula>F126&lt;&gt;MAX(F$126:F$129)</x:formula>
    </x:cfRule>
  </x:conditionalFormatting>
  <x:conditionalFormatting sqref="C136:C139">
    <x:cfRule type="expression" dxfId="192" priority="61">
      <x:formula>C136=MAX(C$136:C$139)</x:formula>
    </x:cfRule>
    <x:cfRule type="expression" dxfId="193" priority="62">
      <x:formula>C136&lt;&gt;MAX(C$136:C$139)</x:formula>
    </x:cfRule>
  </x:conditionalFormatting>
  <x:conditionalFormatting sqref="D136:D139">
    <x:cfRule type="expression" dxfId="194" priority="63">
      <x:formula>D136=MAX(D$136:D$139)</x:formula>
    </x:cfRule>
    <x:cfRule type="expression" dxfId="195" priority="64">
      <x:formula>D136&lt;&gt;MAX(D$136:D$139)</x:formula>
    </x:cfRule>
  </x:conditionalFormatting>
  <x:conditionalFormatting sqref="E136:E139">
    <x:cfRule type="expression" dxfId="196" priority="65">
      <x:formula>E136=MAX(E$136:E$139)</x:formula>
    </x:cfRule>
    <x:cfRule type="expression" dxfId="197" priority="66">
      <x:formula>E136&lt;&gt;MAX(E$136:E$139)</x:formula>
    </x:cfRule>
  </x:conditionalFormatting>
  <x:conditionalFormatting sqref="F136:F139">
    <x:cfRule type="expression" dxfId="198" priority="67">
      <x:formula>F136=MAX(F$136:F$139)</x:formula>
    </x:cfRule>
    <x:cfRule type="expression" dxfId="199" priority="68">
      <x:formula>F136&lt;&gt;MAX(F$136:F$139)</x:formula>
    </x:cfRule>
  </x:conditionalFormatting>
  <x:conditionalFormatting sqref="C156:C159">
    <x:cfRule type="expression" dxfId="200" priority="69">
      <x:formula>C156=MAX(C$156:C$159)</x:formula>
    </x:cfRule>
    <x:cfRule type="expression" dxfId="201" priority="70">
      <x:formula>C156&lt;&gt;MAX(C$156:C$159)</x:formula>
    </x:cfRule>
  </x:conditionalFormatting>
  <x:conditionalFormatting sqref="D156:D159">
    <x:cfRule type="expression" dxfId="202" priority="71">
      <x:formula>D156=MAX(D$156:D$159)</x:formula>
    </x:cfRule>
    <x:cfRule type="expression" dxfId="203" priority="72">
      <x:formula>D156&lt;&gt;MAX(D$156:D$159)</x:formula>
    </x:cfRule>
  </x:conditionalFormatting>
  <x:conditionalFormatting sqref="E156:E159">
    <x:cfRule type="expression" dxfId="204" priority="73">
      <x:formula>E156=MAX(E$156:E$159)</x:formula>
    </x:cfRule>
    <x:cfRule type="expression" dxfId="205" priority="74">
      <x:formula>E156&lt;&gt;MAX(E$156:E$159)</x:formula>
    </x:cfRule>
  </x:conditionalFormatting>
  <x:conditionalFormatting sqref="F156:F159">
    <x:cfRule type="expression" dxfId="206" priority="75">
      <x:formula>F156=MAX(F$156:F$159)</x:formula>
    </x:cfRule>
    <x:cfRule type="expression" dxfId="207" priority="76">
      <x:formula>F156&lt;&gt;MAX(F$156:F$159)</x:formula>
    </x:cfRule>
  </x:conditionalFormatting>
  <x:conditionalFormatting sqref="G156:G159">
    <x:cfRule type="expression" dxfId="208" priority="77">
      <x:formula>G156=MAX(G$156:G$159)</x:formula>
    </x:cfRule>
    <x:cfRule type="expression" dxfId="209" priority="78">
      <x:formula>G156&lt;&gt;MAX(G$156:G$159)</x:formula>
    </x:cfRule>
  </x:conditionalFormatting>
  <x:conditionalFormatting sqref="H156:H159">
    <x:cfRule type="expression" dxfId="210" priority="79">
      <x:formula>H156=MAX(H$156:H$159)</x:formula>
    </x:cfRule>
    <x:cfRule type="expression" dxfId="211" priority="80">
      <x:formula>H156&lt;&gt;MAX(H$156:H$159)</x:formula>
    </x:cfRule>
  </x:conditionalFormatting>
  <x:conditionalFormatting sqref="I156:I159">
    <x:cfRule type="expression" dxfId="212" priority="81">
      <x:formula>I156=MAX(I$156:I$159)</x:formula>
    </x:cfRule>
    <x:cfRule type="expression" dxfId="213" priority="82">
      <x:formula>I156&lt;&gt;MAX(I$156:I$159)</x:formula>
    </x:cfRule>
  </x:conditionalFormatting>
  <x:conditionalFormatting sqref="J156:J159">
    <x:cfRule type="expression" dxfId="214" priority="83">
      <x:formula>J156=MAX(J$156:J$159)</x:formula>
    </x:cfRule>
    <x:cfRule type="expression" dxfId="215" priority="84">
      <x:formula>J156&lt;&gt;MAX(J$156:J$159)</x:formula>
    </x:cfRule>
  </x:conditionalFormatting>
  <x:conditionalFormatting sqref="K156:K159">
    <x:cfRule type="expression" dxfId="216" priority="85">
      <x:formula>K156=MAX(K$156:K$159)</x:formula>
    </x:cfRule>
    <x:cfRule type="expression" dxfId="217" priority="86">
      <x:formula>K156&lt;&gt;MAX(K$156:K$159)</x:formula>
    </x:cfRule>
  </x:conditionalFormatting>
  <x:conditionalFormatting sqref="C166:C169">
    <x:cfRule type="expression" dxfId="218" priority="87">
      <x:formula>C166=MAX(C$166:C$169)</x:formula>
    </x:cfRule>
    <x:cfRule type="expression" dxfId="219" priority="88">
      <x:formula>C166&lt;&gt;MAX(C$166:C$169)</x:formula>
    </x:cfRule>
  </x:conditionalFormatting>
  <x:conditionalFormatting sqref="D166:D169">
    <x:cfRule type="expression" dxfId="220" priority="89">
      <x:formula>D166=MAX(D$166:D$169)</x:formula>
    </x:cfRule>
    <x:cfRule type="expression" dxfId="221" priority="90">
      <x:formula>D166&lt;&gt;MAX(D$166:D$169)</x:formula>
    </x:cfRule>
  </x:conditionalFormatting>
  <x:conditionalFormatting sqref="E166:E169">
    <x:cfRule type="expression" dxfId="222" priority="91">
      <x:formula>E166=MAX(E$166:E$169)</x:formula>
    </x:cfRule>
    <x:cfRule type="expression" dxfId="223" priority="92">
      <x:formula>E166&lt;&gt;MAX(E$166:E$169)</x:formula>
    </x:cfRule>
  </x:conditionalFormatting>
  <x:conditionalFormatting sqref="F166:F169">
    <x:cfRule type="expression" dxfId="224" priority="93">
      <x:formula>F166=MAX(F$166:F$169)</x:formula>
    </x:cfRule>
    <x:cfRule type="expression" dxfId="225" priority="94">
      <x:formula>F166&lt;&gt;MAX(F$166:F$169)</x:formula>
    </x:cfRule>
  </x:conditionalFormatting>
  <x:conditionalFormatting sqref="G166:G169">
    <x:cfRule type="expression" dxfId="226" priority="95">
      <x:formula>G166=MAX(G$166:G$169)</x:formula>
    </x:cfRule>
    <x:cfRule type="expression" dxfId="227" priority="96">
      <x:formula>G166&lt;&gt;MAX(G$166:G$169)</x:formula>
    </x:cfRule>
  </x:conditionalFormatting>
  <x:conditionalFormatting sqref="H166:H169">
    <x:cfRule type="expression" dxfId="228" priority="97">
      <x:formula>H166=MAX(H$166:H$169)</x:formula>
    </x:cfRule>
    <x:cfRule type="expression" dxfId="229" priority="98">
      <x:formula>H166&lt;&gt;MAX(H$166:H$169)</x:formula>
    </x:cfRule>
  </x:conditionalFormatting>
  <x:conditionalFormatting sqref="I166:I169">
    <x:cfRule type="expression" dxfId="230" priority="99">
      <x:formula>I166=MAX(I$166:I$169)</x:formula>
    </x:cfRule>
    <x:cfRule type="expression" dxfId="231" priority="100">
      <x:formula>I166&lt;&gt;MAX(I$166:I$169)</x:formula>
    </x:cfRule>
  </x:conditionalFormatting>
  <x:conditionalFormatting sqref="J166:J169">
    <x:cfRule type="expression" dxfId="232" priority="101">
      <x:formula>J166=MAX(J$166:J$169)</x:formula>
    </x:cfRule>
    <x:cfRule type="expression" dxfId="233" priority="102">
      <x:formula>J166&lt;&gt;MAX(J$166:J$169)</x:formula>
    </x:cfRule>
  </x:conditionalFormatting>
  <x:conditionalFormatting sqref="K166:K169">
    <x:cfRule type="expression" dxfId="234" priority="103">
      <x:formula>K166=MAX(K$166:K$169)</x:formula>
    </x:cfRule>
    <x:cfRule type="expression" dxfId="235" priority="104">
      <x:formula>K166&lt;&gt;MAX(K$166:K$169)</x:formula>
    </x:cfRule>
  </x:conditionalFormatting>
  <x:conditionalFormatting sqref="C176:C179">
    <x:cfRule type="expression" dxfId="236" priority="105">
      <x:formula>C176=MAX(C$176:C$179)</x:formula>
    </x:cfRule>
    <x:cfRule type="expression" dxfId="237" priority="106">
      <x:formula>C176&lt;&gt;MAX(C$176:C$179)</x:formula>
    </x:cfRule>
  </x:conditionalFormatting>
  <x:conditionalFormatting sqref="D176:D179">
    <x:cfRule type="expression" dxfId="238" priority="107">
      <x:formula>D176=MAX(D$176:D$179)</x:formula>
    </x:cfRule>
    <x:cfRule type="expression" dxfId="239" priority="108">
      <x:formula>D176&lt;&gt;MAX(D$176:D$179)</x:formula>
    </x:cfRule>
  </x:conditionalFormatting>
  <x:conditionalFormatting sqref="E176:E179">
    <x:cfRule type="expression" dxfId="240" priority="109">
      <x:formula>E176=MAX(E$176:E$179)</x:formula>
    </x:cfRule>
    <x:cfRule type="expression" dxfId="241" priority="110">
      <x:formula>E176&lt;&gt;MAX(E$176:E$179)</x:formula>
    </x:cfRule>
  </x:conditionalFormatting>
  <x:conditionalFormatting sqref="F176:F179">
    <x:cfRule type="expression" dxfId="242" priority="111">
      <x:formula>F176=MAX(F$176:F$179)</x:formula>
    </x:cfRule>
    <x:cfRule type="expression" dxfId="243" priority="112">
      <x:formula>F176&lt;&gt;MAX(F$176:F$179)</x:formula>
    </x:cfRule>
  </x:conditionalFormatting>
  <x:conditionalFormatting sqref="G176:G179">
    <x:cfRule type="expression" dxfId="244" priority="113">
      <x:formula>G176=MAX(G$176:G$179)</x:formula>
    </x:cfRule>
    <x:cfRule type="expression" dxfId="245" priority="114">
      <x:formula>G176&lt;&gt;MAX(G$176:G$179)</x:formula>
    </x:cfRule>
  </x:conditionalFormatting>
  <x:conditionalFormatting sqref="H176:H179">
    <x:cfRule type="expression" dxfId="246" priority="115">
      <x:formula>H176=MAX(H$176:H$179)</x:formula>
    </x:cfRule>
    <x:cfRule type="expression" dxfId="247" priority="116">
      <x:formula>H176&lt;&gt;MAX(H$176:H$179)</x:formula>
    </x:cfRule>
  </x:conditionalFormatting>
  <x:conditionalFormatting sqref="I176:I179">
    <x:cfRule type="expression" dxfId="248" priority="117">
      <x:formula>I176=MAX(I$176:I$179)</x:formula>
    </x:cfRule>
    <x:cfRule type="expression" dxfId="249" priority="118">
      <x:formula>I176&lt;&gt;MAX(I$176:I$179)</x:formula>
    </x:cfRule>
  </x:conditionalFormatting>
  <x:conditionalFormatting sqref="J176:J179">
    <x:cfRule type="expression" dxfId="250" priority="119">
      <x:formula>J176=MAX(J$176:J$179)</x:formula>
    </x:cfRule>
    <x:cfRule type="expression" dxfId="251" priority="120">
      <x:formula>J176&lt;&gt;MAX(J$176:J$179)</x:formula>
    </x:cfRule>
  </x:conditionalFormatting>
  <x:conditionalFormatting sqref="K176:K179">
    <x:cfRule type="expression" dxfId="252" priority="121">
      <x:formula>K176=MAX(K$176:K$179)</x:formula>
    </x:cfRule>
    <x:cfRule type="expression" dxfId="253" priority="122">
      <x:formula>K176&lt;&gt;MAX(K$176:K$179)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B6B6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.5" hidden="0" customWidth="1"/>
    <x:col min="2" max="2" width="31.25" hidden="0" customWidth="1"/>
    <x:col min="3" max="3" width="18.5" hidden="0" customWidth="1"/>
    <x:col min="4" max="4" width="18.5" hidden="0" customWidth="1"/>
    <x:col min="5" max="5" width="18.5" hidden="0" customWidth="1"/>
    <x:col min="6" max="6" width="18.5" hidden="0" customWidth="1"/>
    <x:col min="7" max="7" width="18.5" hidden="0" customWidth="1"/>
    <x:col min="8" max="8" width="18.5" hidden="0" customWidth="1"/>
    <x:col min="9" max="9" width="18.5" hidden="0" customWidth="1"/>
    <x:col min="10" max="10" width="18.5" hidden="0" customWidth="1"/>
    <x:col min="11" max="11" width="18.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9" customHeight="1">
      <x:c r="A2" s="3"/>
      <x:c r="B2" s="4" t="str">
        <x:v>TABLE 1.</x:v>
      </x:c>
      <x:c r="C2" s="5" t="str">
        <x:v>Sentiment classification performance.</x:v>
      </x:c>
      <x:c r="D2" s="5"/>
      <x:c r="E2" s="5"/>
      <x:c r="F2" s="5"/>
      <x:c r="G2" s="3"/>
      <x:c r="H2" s="3"/>
      <x:c r="I2" s="3"/>
      <x:c r="J2" s="3"/>
    </x:row>
    <x:row r="3" ht="21" customHeight="1">
      <x:c r="A3" s="3"/>
      <x:c r="B3" s="6" t="str">
        <x:v>Indonesian: sentiment, n = 12,760</x:v>
      </x:c>
      <x:c r="C3" s="6"/>
      <x:c r="D3" s="6"/>
      <x:c r="E3" s="6"/>
      <x:c r="F3" s="6"/>
      <x:c r="G3" s="3"/>
      <x:c r="H3" s="3"/>
      <x:c r="I3" s="3"/>
      <x:c r="J3" s="3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42" customHeight="1">
      <x:c r="A5" s="3"/>
      <x:c r="B5" s="11" t="str">
        <x:v>Model</x:v>
      </x:c>
      <x:c r="C5" s="10" t="str">
        <x:v>Accuracy</x:v>
      </x:c>
      <x:c r="D5" s="10" t="str">
        <x:v>Balanced
Accuracy</x:v>
      </x:c>
      <x:c r="E5" s="10" t="str">
        <x:v>Macro-F1</x:v>
      </x:c>
      <x:c r="F5" s="10" t="str">
        <x:v>Weighted-F1</x:v>
      </x:c>
      <x:c r="G5" s="3"/>
      <x:c r="H5" s="3"/>
      <x:c r="I5" s="3"/>
      <x:c r="J5" s="3"/>
    </x:row>
    <x:row r="6" ht="24" customHeight="1">
      <x:c r="A6" s="3"/>
      <x:c r="B6" s="12" t="str">
        <x:v>nimble:9b</x:v>
      </x:c>
      <x:c r="C6" s="18" t="n">
        <x:v>0.8871473354231975</x:v>
      </x:c>
      <x:c r="D6" s="18" t="n">
        <x:v>0.8076030899326468</x:v>
      </x:c>
      <x:c r="E6" s="18" t="n">
        <x:v>0.8157296719161945</x:v>
      </x:c>
      <x:c r="F6" s="18" t="n">
        <x:v>0.885061270975692</x:v>
      </x:c>
      <x:c r="G6" s="3"/>
      <x:c r="H6" s="3"/>
      <x:c r="I6" s="3"/>
      <x:c r="J6" s="3"/>
    </x:row>
    <x:row r="7" ht="24" customHeight="1">
      <x:c r="A7" s="3"/>
      <x:c r="B7" s="12" t="str">
        <x:v>tev1:0.8b</x:v>
      </x:c>
      <x:c r="C7" s="18" t="n">
        <x:v>0.7920846394984326</x:v>
      </x:c>
      <x:c r="D7" s="18" t="n">
        <x:v>0.7106581439889835</x:v>
      </x:c>
      <x:c r="E7" s="18" t="n">
        <x:v>0.6934219752577757</x:v>
      </x:c>
      <x:c r="F7" s="18" t="n">
        <x:v>0.8050267727385058</x:v>
      </x:c>
      <x:c r="G7" s="3"/>
      <x:c r="H7" s="3"/>
      <x:c r="I7" s="3"/>
      <x:c r="J7" s="3"/>
    </x:row>
    <x:row r="8" ht="24" customHeight="1">
      <x:c r="A8" s="3"/>
      <x:c r="B8" s="12" t="str">
        <x:v>tev1:4b</x:v>
      </x:c>
      <x:c r="C8" s="18" t="n">
        <x:v>0.8666927899686521</x:v>
      </x:c>
      <x:c r="D8" s="19" t="n">
        <x:v>0.8264415714783092</x:v>
      </x:c>
      <x:c r="E8" s="18" t="n">
        <x:v>0.7976595937852392</x:v>
      </x:c>
      <x:c r="F8" s="18" t="n">
        <x:v>0.8749217818122281</x:v>
      </x:c>
      <x:c r="G8" s="3"/>
      <x:c r="H8" s="3"/>
      <x:c r="I8" s="3"/>
      <x:c r="J8" s="3"/>
    </x:row>
    <x:row r="9" ht="24" customHeight="1">
      <x:c r="A9" s="3"/>
      <x:c r="B9" s="14" t="str">
        <x:v>typesafe/jev-1.13</x:v>
      </x:c>
      <x:c r="C9" s="21" t="n">
        <x:v>0.8882445141065831</x:v>
      </x:c>
      <x:c r="D9" s="20" t="n">
        <x:v>0.8191507573590764</x:v>
      </x:c>
      <x:c r="E9" s="21" t="n">
        <x:v>0.8191923068187693</x:v>
      </x:c>
      <x:c r="F9" s="21" t="n">
        <x:v>0.8871617844400538</x:v>
      </x:c>
      <x:c r="G9" s="3"/>
      <x:c r="H9" s="3"/>
      <x:c r="I9" s="3"/>
      <x:c r="J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</x:row>
    <x:row r="11" ht="24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29" customHeight="1">
      <x:c r="A12" s="3"/>
      <x:c r="B12" s="4" t="str">
        <x:v>TABLE 2.</x:v>
      </x:c>
      <x:c r="C12" s="5" t="str">
        <x:v>Emotion classification performance.</x:v>
      </x:c>
      <x:c r="D12" s="5"/>
      <x:c r="E12" s="5"/>
      <x:c r="F12" s="5"/>
      <x:c r="G12" s="3"/>
      <x:c r="H12" s="3"/>
      <x:c r="I12" s="3"/>
      <x:c r="J12" s="3"/>
    </x:row>
    <x:row r="13" ht="21" customHeight="1">
      <x:c r="A13" s="3"/>
      <x:c r="B13" s="6" t="str">
        <x:v>Indonesian: emotion, n = 4,403</x:v>
      </x:c>
      <x:c r="C13" s="6"/>
      <x:c r="D13" s="6"/>
      <x:c r="E13" s="6"/>
      <x:c r="F13" s="6"/>
      <x:c r="G13" s="3"/>
      <x:c r="H13" s="3"/>
      <x:c r="I13" s="3"/>
      <x:c r="J13" s="3"/>
    </x:row>
    <x:row r="14" ht="9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42" customHeight="1">
      <x:c r="A15" s="3"/>
      <x:c r="B15" s="11" t="str">
        <x:v>Model</x:v>
      </x:c>
      <x:c r="C15" s="10" t="str">
        <x:v>Accuracy</x:v>
      </x:c>
      <x:c r="D15" s="10" t="str">
        <x:v>Balanced
Accuracy</x:v>
      </x:c>
      <x:c r="E15" s="10" t="str">
        <x:v>Macro-F1</x:v>
      </x:c>
      <x:c r="F15" s="10" t="str">
        <x:v>Weighted-F1</x:v>
      </x:c>
      <x:c r="G15" s="3"/>
      <x:c r="H15" s="3"/>
      <x:c r="I15" s="3"/>
      <x:c r="J15" s="3"/>
    </x:row>
    <x:row r="16" ht="24" customHeight="1">
      <x:c r="A16" s="3"/>
      <x:c r="B16" s="12" t="str">
        <x:v>nimble:9b</x:v>
      </x:c>
      <x:c r="C16" s="18" t="n">
        <x:v>0.7354076765841472</x:v>
      </x:c>
      <x:c r="D16" s="18" t="n">
        <x:v>0.7456868072756077</x:v>
      </x:c>
      <x:c r="E16" s="18" t="n">
        <x:v>0.7293039817580553</x:v>
      </x:c>
      <x:c r="F16" s="18" t="n">
        <x:v>0.7229239937737777</x:v>
      </x:c>
      <x:c r="G16" s="3"/>
      <x:c r="H16" s="3"/>
      <x:c r="I16" s="3"/>
      <x:c r="J16" s="3"/>
    </x:row>
    <x:row r="17" ht="24" customHeight="1">
      <x:c r="A17" s="3"/>
      <x:c r="B17" s="12" t="str">
        <x:v>tev1:0.8b</x:v>
      </x:c>
      <x:c r="C17" s="18" t="n">
        <x:v>0.61003861003861</x:v>
      </x:c>
      <x:c r="D17" s="18" t="n">
        <x:v>0.6098380083964551</x:v>
      </x:c>
      <x:c r="E17" s="18" t="n">
        <x:v>0.5991586996648655</x:v>
      </x:c>
      <x:c r="F17" s="18" t="n">
        <x:v>0.5895795574577072</x:v>
      </x:c>
      <x:c r="G17" s="3"/>
      <x:c r="H17" s="3"/>
      <x:c r="I17" s="3"/>
      <x:c r="J17" s="3"/>
    </x:row>
    <x:row r="18" ht="24" customHeight="1">
      <x:c r="A18" s="3"/>
      <x:c r="B18" s="12" t="str">
        <x:v>tev1:4b</x:v>
      </x:c>
      <x:c r="C18" s="18" t="n">
        <x:v>0.7369975017033841</x:v>
      </x:c>
      <x:c r="D18" s="18" t="n">
        <x:v>0.7414606934574517</x:v>
      </x:c>
      <x:c r="E18" s="18" t="n">
        <x:v>0.7342024579517497</x:v>
      </x:c>
      <x:c r="F18" s="18" t="n">
        <x:v>0.7272454736731437</x:v>
      </x:c>
      <x:c r="G18" s="3"/>
      <x:c r="H18" s="3"/>
      <x:c r="I18" s="3"/>
      <x:c r="J18" s="3"/>
    </x:row>
    <x:row r="19" ht="24" customHeight="1">
      <x:c r="A19" s="3"/>
      <x:c r="B19" s="14" t="str">
        <x:v>typesafe/jev-1.13</x:v>
      </x:c>
      <x:c r="C19" s="21" t="n">
        <x:v>0.7790143084260731</x:v>
      </x:c>
      <x:c r="D19" s="21" t="n">
        <x:v>0.7901531821063534</x:v>
      </x:c>
      <x:c r="E19" s="21" t="n">
        <x:v>0.7763329270486458</x:v>
      </x:c>
      <x:c r="F19" s="21" t="n">
        <x:v>0.7732888489158438</x:v>
      </x:c>
      <x:c r="G19" s="3"/>
      <x:c r="H19" s="3"/>
      <x:c r="I19" s="3"/>
      <x:c r="J19" s="3"/>
    </x:row>
    <x:row r="20" ht="24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  <x:row r="21" ht="24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29" customHeight="1">
      <x:c r="A22" s="3"/>
      <x:c r="B22" s="4" t="str">
        <x:v>TABLE 3.</x:v>
      </x:c>
      <x:c r="C22" s="5" t="str">
        <x:v>Sentiment confidence intervals.</x:v>
      </x:c>
      <x:c r="D22" s="5"/>
      <x:c r="E22" s="5"/>
      <x:c r="F22" s="5"/>
      <x:c r="G22" s="3"/>
      <x:c r="H22" s="3"/>
      <x:c r="I22" s="3"/>
      <x:c r="J22" s="3"/>
    </x:row>
    <x:row r="23" ht="21" customHeight="1">
      <x:c r="A23" s="3"/>
      <x:c r="B23" s="6" t="str">
        <x:v>Indonesian: sentiment, n = 12,760</x:v>
      </x:c>
      <x:c r="C23" s="6"/>
      <x:c r="D23" s="6"/>
      <x:c r="E23" s="6"/>
      <x:c r="F23" s="6"/>
      <x:c r="G23" s="3"/>
      <x:c r="H23" s="3"/>
      <x:c r="I23" s="3"/>
      <x:c r="J23" s="3"/>
    </x:row>
    <x:row r="24" ht="9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  <x:row r="25" ht="42" customHeight="1">
      <x:c r="A25" s="3"/>
      <x:c r="B25" s="11" t="str">
        <x:v>Model</x:v>
      </x:c>
      <x:c r="C25" s="10" t="str">
        <x:v>Accuracy
Lower</x:v>
      </x:c>
      <x:c r="D25" s="10" t="str">
        <x:v>Accuracy
Upper</x:v>
      </x:c>
      <x:c r="E25" s="10" t="str">
        <x:v>Macro-F1
Lower</x:v>
      </x:c>
      <x:c r="F25" s="10" t="str">
        <x:v>Macro-F1
Upper</x:v>
      </x:c>
      <x:c r="G25" s="3"/>
      <x:c r="H25" s="3"/>
      <x:c r="I25" s="3"/>
      <x:c r="J25" s="3"/>
    </x:row>
    <x:row r="26" ht="24" customHeight="1">
      <x:c r="A26" s="3"/>
      <x:c r="B26" s="12" t="str">
        <x:v>nimble:9b</x:v>
      </x:c>
      <x:c r="C26" s="16" t="n">
        <x:v>0.8822100313479624</x:v>
      </x:c>
      <x:c r="D26" s="16" t="n">
        <x:v>0.8925215517241379</x:v>
      </x:c>
      <x:c r="E26" s="16" t="n">
        <x:v>0.8076867150111436</x:v>
      </x:c>
      <x:c r="F26" s="16" t="n">
        <x:v>0.8244974067753217</x:v>
      </x:c>
      <x:c r="G26" s="3"/>
      <x:c r="H26" s="3"/>
      <x:c r="I26" s="3"/>
      <x:c r="J26" s="3"/>
    </x:row>
    <x:row r="27" ht="24" customHeight="1">
      <x:c r="A27" s="3"/>
      <x:c r="B27" s="12" t="str">
        <x:v>tev1:0.8b</x:v>
      </x:c>
      <x:c r="C27" s="16" t="n">
        <x:v>0.7849118338557993</x:v>
      </x:c>
      <x:c r="D27" s="16" t="n">
        <x:v>0.7985148902821316</x:v>
      </x:c>
      <x:c r="E27" s="16" t="n">
        <x:v>0.6845606552080068</x:v>
      </x:c>
      <x:c r="F27" s="16" t="n">
        <x:v>0.7018003724273049</x:v>
      </x:c>
      <x:c r="G27" s="3"/>
      <x:c r="H27" s="3"/>
      <x:c r="I27" s="3"/>
      <x:c r="J27" s="3"/>
    </x:row>
    <x:row r="28" ht="24" customHeight="1">
      <x:c r="A28" s="3"/>
      <x:c r="B28" s="12" t="str">
        <x:v>tev1:4b</x:v>
      </x:c>
      <x:c r="C28" s="16" t="n">
        <x:v>0.8606916144200627</x:v>
      </x:c>
      <x:c r="D28" s="16" t="n">
        <x:v>0.8723765673981191</x:v>
      </x:c>
      <x:c r="E28" s="16" t="n">
        <x:v>0.7896807629999933</x:v>
      </x:c>
      <x:c r="F28" s="16" t="n">
        <x:v>0.8050750403686845</x:v>
      </x:c>
      <x:c r="G28" s="3"/>
      <x:c r="H28" s="3"/>
      <x:c r="I28" s="3"/>
      <x:c r="J28" s="3"/>
    </x:row>
    <x:row r="29" ht="24" customHeight="1">
      <x:c r="A29" s="3"/>
      <x:c r="B29" s="14" t="str">
        <x:v>typesafe/jev-1.13</x:v>
      </x:c>
      <x:c r="C29" s="17" t="n">
        <x:v>0.8825979623824451</x:v>
      </x:c>
      <x:c r="D29" s="17" t="n">
        <x:v>0.8933836206896552</x:v>
      </x:c>
      <x:c r="E29" s="17" t="n">
        <x:v>0.8106486340073024</x:v>
      </x:c>
      <x:c r="F29" s="17" t="n">
        <x:v>0.8276170801456971</x:v>
      </x:c>
      <x:c r="G29" s="3"/>
      <x:c r="H29" s="3"/>
      <x:c r="I29" s="3"/>
      <x:c r="J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 ht="29" customHeight="1">
      <x:c r="A32" s="3"/>
      <x:c r="B32" s="4" t="str">
        <x:v>TABLE 4.</x:v>
      </x:c>
      <x:c r="C32" s="5" t="str">
        <x:v>Emotion confidence intervals.</x:v>
      </x:c>
      <x:c r="D32" s="5"/>
      <x:c r="E32" s="5"/>
      <x:c r="F32" s="5"/>
      <x:c r="G32" s="3"/>
      <x:c r="H32" s="3"/>
      <x:c r="I32" s="3"/>
      <x:c r="J32" s="3"/>
    </x:row>
    <x:row r="33" ht="21" customHeight="1">
      <x:c r="A33" s="3"/>
      <x:c r="B33" s="6" t="str">
        <x:v>Indonesian: emotion, n = 4,403</x:v>
      </x:c>
      <x:c r="C33" s="6"/>
      <x:c r="D33" s="6"/>
      <x:c r="E33" s="6"/>
      <x:c r="F33" s="6"/>
      <x:c r="G33" s="3"/>
      <x:c r="H33" s="3"/>
      <x:c r="I33" s="3"/>
      <x:c r="J33" s="3"/>
    </x:row>
    <x:row r="34" ht="9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  <x:row r="35" ht="42" customHeight="1">
      <x:c r="A35" s="3"/>
      <x:c r="B35" s="11" t="str">
        <x:v>Model</x:v>
      </x:c>
      <x:c r="C35" s="10" t="str">
        <x:v>Accuracy
Lower</x:v>
      </x:c>
      <x:c r="D35" s="10" t="str">
        <x:v>Accuracy
Upper</x:v>
      </x:c>
      <x:c r="E35" s="10" t="str">
        <x:v>Macro-F1
Lower</x:v>
      </x:c>
      <x:c r="F35" s="10" t="str">
        <x:v>Macro-F1
Upper</x:v>
      </x:c>
      <x:c r="G35" s="3"/>
      <x:c r="H35" s="3"/>
      <x:c r="I35" s="3"/>
      <x:c r="J35" s="3"/>
    </x:row>
    <x:row r="36" ht="24" customHeight="1">
      <x:c r="A36" s="3"/>
      <x:c r="B36" s="12" t="str">
        <x:v>nimble:9b</x:v>
      </x:c>
      <x:c r="C36" s="16" t="n">
        <x:v>0.7232511923688394</x:v>
      </x:c>
      <x:c r="D36" s="16" t="n">
        <x:v>0.7471099250511015</x:v>
      </x:c>
      <x:c r="E36" s="16" t="n">
        <x:v>0.7165774440518634</x:v>
      </x:c>
      <x:c r="F36" s="16" t="n">
        <x:v>0.7417999296857424</x:v>
      </x:c>
      <x:c r="G36" s="3"/>
      <x:c r="H36" s="3"/>
      <x:c r="I36" s="3"/>
      <x:c r="J36" s="3"/>
    </x:row>
    <x:row r="37" ht="24" customHeight="1">
      <x:c r="A37" s="3"/>
      <x:c r="B37" s="12" t="str">
        <x:v>tev1:0.8b</x:v>
      </x:c>
      <x:c r="C37" s="16" t="n">
        <x:v>0.5977742448330684</x:v>
      </x:c>
      <x:c r="D37" s="16" t="n">
        <x:v>0.6232114467408585</x:v>
      </x:c>
      <x:c r="E37" s="16" t="n">
        <x:v>0.5849601611679426</x:v>
      </x:c>
      <x:c r="F37" s="16" t="n">
        <x:v>0.6143155109060797</x:v>
      </x:c>
      <x:c r="G37" s="3"/>
      <x:c r="H37" s="3"/>
      <x:c r="I37" s="3"/>
      <x:c r="J37" s="3"/>
    </x:row>
    <x:row r="38" ht="24" customHeight="1">
      <x:c r="A38" s="3"/>
      <x:c r="B38" s="12" t="str">
        <x:v>tev1:4b</x:v>
      </x:c>
      <x:c r="C38" s="16" t="n">
        <x:v>0.7252952532364297</x:v>
      </x:c>
      <x:c r="D38" s="16" t="n">
        <x:v>0.7497161026572792</x:v>
      </x:c>
      <x:c r="E38" s="16" t="n">
        <x:v>0.7224211248045866</x:v>
      </x:c>
      <x:c r="F38" s="16" t="n">
        <x:v>0.7478181892313951</x:v>
      </x:c>
      <x:c r="G38" s="3"/>
      <x:c r="H38" s="3"/>
      <x:c r="I38" s="3"/>
      <x:c r="J38" s="3"/>
    </x:row>
    <x:row r="39" ht="24" customHeight="1">
      <x:c r="A39" s="3"/>
      <x:c r="B39" s="14" t="str">
        <x:v>typesafe/jev-1.13</x:v>
      </x:c>
      <x:c r="C39" s="17" t="n">
        <x:v>0.7673120599591188</x:v>
      </x:c>
      <x:c r="D39" s="17" t="n">
        <x:v>0.7901544401544401</x:v>
      </x:c>
      <x:c r="E39" s="17" t="n">
        <x:v>0.7643556028384587</x:v>
      </x:c>
      <x:c r="F39" s="17" t="n">
        <x:v>0.7878237936090723</x:v>
      </x:c>
      <x:c r="G39" s="3"/>
      <x:c r="H39" s="3"/>
      <x:c r="I39" s="3"/>
      <x:c r="J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 ht="24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  <x:row r="42" ht="29" customHeight="1">
      <x:c r="A42" s="3"/>
      <x:c r="B42" s="4" t="str">
        <x:v>TABLE 5.</x:v>
      </x:c>
      <x:c r="C42" s="5" t="str">
        <x:v>Sentiment probability and calibration.</x:v>
      </x:c>
      <x:c r="D42" s="5"/>
      <x:c r="E42" s="5"/>
      <x:c r="F42" s="5"/>
      <x:c r="G42" s="5"/>
      <x:c r="H42" s="3"/>
      <x:c r="I42" s="3"/>
      <x:c r="J42" s="3"/>
    </x:row>
    <x:row r="43" ht="21" customHeight="1">
      <x:c r="A43" s="3"/>
      <x:c r="B43" s="6" t="str">
        <x:v>Indonesian: sentiment, n = 12,760</x:v>
      </x:c>
      <x:c r="C43" s="6"/>
      <x:c r="D43" s="6"/>
      <x:c r="E43" s="6"/>
      <x:c r="F43" s="6"/>
      <x:c r="G43" s="6"/>
      <x:c r="H43" s="3"/>
      <x:c r="I43" s="3"/>
      <x:c r="J43" s="3"/>
    </x:row>
    <x:row r="44" ht="9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</x:row>
    <x:row r="45" ht="42" customHeight="1">
      <x:c r="A45" s="3"/>
      <x:c r="B45" s="11" t="str">
        <x:v>Model</x:v>
      </x:c>
      <x:c r="C45" s="10" t="str">
        <x:v>Log Loss</x:v>
      </x:c>
      <x:c r="D45" s="10" t="str">
        <x:v>Multiclass
Brier</x:v>
      </x:c>
      <x:c r="E45" s="10" t="str">
        <x:v>ECE</x:v>
      </x:c>
      <x:c r="F45" s="10" t="str">
        <x:v>Probability
Coverage</x:v>
      </x:c>
      <x:c r="G45" s="10" t="str">
        <x:v>Max. Probability
Sum Error</x:v>
      </x:c>
      <x:c r="H45" s="3"/>
      <x:c r="I45" s="3"/>
      <x:c r="J45" s="3"/>
    </x:row>
    <x:row r="46" ht="24" customHeight="1">
      <x:c r="A46" s="3"/>
      <x:c r="B46" s="12" t="str">
        <x:v>nimble:9b</x:v>
      </x:c>
      <x:c r="C46" s="19" t="n">
        <x:v>0.3416456214555594</x:v>
      </x:c>
      <x:c r="D46" s="19" t="n">
        <x:v>0.1719172610928429</x:v>
      </x:c>
      <x:c r="E46" s="18" t="n">
        <x:v>0.0406686671417556</x:v>
      </x:c>
      <x:c r="F46" s="19" t="n">
        <x:v>1</x:v>
      </x:c>
      <x:c r="G46" s="22" t="n">
        <x:v>3.3306690738754696e-16</x:v>
      </x:c>
      <x:c r="H46" s="3"/>
      <x:c r="I46" s="3"/>
      <x:c r="J46" s="3"/>
    </x:row>
    <x:row r="47" ht="24" customHeight="1">
      <x:c r="A47" s="3"/>
      <x:c r="B47" s="12" t="str">
        <x:v>tev1:0.8b</x:v>
      </x:c>
      <x:c r="C47" s="18" t="n">
        <x:v>0.5190346811186619</x:v>
      </x:c>
      <x:c r="D47" s="18" t="n">
        <x:v>0.2822794339585787</x:v>
      </x:c>
      <x:c r="E47" s="18" t="n">
        <x:v>0.031554809039998</x:v>
      </x:c>
      <x:c r="F47" s="19" t="n">
        <x:v>1</x:v>
      </x:c>
      <x:c r="G47" s="22" t="n">
        <x:v>3.3306690738754696e-16</x:v>
      </x:c>
      <x:c r="H47" s="3"/>
      <x:c r="I47" s="3"/>
      <x:c r="J47" s="3"/>
    </x:row>
    <x:row r="48" ht="24" customHeight="1">
      <x:c r="A48" s="3"/>
      <x:c r="B48" s="12" t="str">
        <x:v>tev1:4b</x:v>
      </x:c>
      <x:c r="C48" s="18" t="n">
        <x:v>0.3814993821634976</x:v>
      </x:c>
      <x:c r="D48" s="18" t="n">
        <x:v>0.1946245528866463</x:v>
      </x:c>
      <x:c r="E48" s="19" t="n">
        <x:v>0.0294906862749584</x:v>
      </x:c>
      <x:c r="F48" s="19" t="n">
        <x:v>1</x:v>
      </x:c>
      <x:c r="G48" s="22" t="n">
        <x:v>3.3306690738754696e-16</x:v>
      </x:c>
      <x:c r="H48" s="3"/>
      <x:c r="I48" s="3"/>
      <x:c r="J48" s="3"/>
    </x:row>
    <x:row r="49" ht="24" customHeight="1">
      <x:c r="A49" s="3"/>
      <x:c r="B49" s="14" t="str">
        <x:v>typesafe/jev-1.13</x:v>
      </x:c>
      <x:c r="C49" s="20" t="n">
        <x:v>1.0846867415806558</x:v>
      </x:c>
      <x:c r="D49" s="20" t="n">
        <x:v>0.1745440697657682</x:v>
      </x:c>
      <x:c r="E49" s="20" t="n">
        <x:v>0.0527478943035369</x:v>
      </x:c>
      <x:c r="F49" s="21" t="n">
        <x:v>1</x:v>
      </x:c>
      <x:c r="G49" s="23" t="n">
        <x:v>0.01</x:v>
      </x:c>
      <x:c r="H49" s="3"/>
      <x:c r="I49" s="3"/>
      <x:c r="J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</x:row>
    <x:row r="51" ht="24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</x:row>
    <x:row r="52" ht="29" customHeight="1">
      <x:c r="A52" s="3"/>
      <x:c r="B52" s="4" t="str">
        <x:v>TABLE 6.</x:v>
      </x:c>
      <x:c r="C52" s="5" t="str">
        <x:v>Emotion probability and calibration.</x:v>
      </x:c>
      <x:c r="D52" s="5"/>
      <x:c r="E52" s="5"/>
      <x:c r="F52" s="5"/>
      <x:c r="G52" s="5"/>
      <x:c r="H52" s="3"/>
      <x:c r="I52" s="3"/>
      <x:c r="J52" s="3"/>
    </x:row>
    <x:row r="53" ht="21" customHeight="1">
      <x:c r="A53" s="3"/>
      <x:c r="B53" s="6" t="str">
        <x:v>Indonesian: emotion, n = 4,403</x:v>
      </x:c>
      <x:c r="C53" s="6"/>
      <x:c r="D53" s="6"/>
      <x:c r="E53" s="6"/>
      <x:c r="F53" s="6"/>
      <x:c r="G53" s="6"/>
      <x:c r="H53" s="3"/>
      <x:c r="I53" s="3"/>
      <x:c r="J53" s="3"/>
    </x:row>
    <x:row r="54" ht="9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</x:row>
    <x:row r="55" ht="42" customHeight="1">
      <x:c r="A55" s="3"/>
      <x:c r="B55" s="11" t="str">
        <x:v>Model</x:v>
      </x:c>
      <x:c r="C55" s="10" t="str">
        <x:v>Log Loss</x:v>
      </x:c>
      <x:c r="D55" s="10" t="str">
        <x:v>Multiclass
Brier</x:v>
      </x:c>
      <x:c r="E55" s="10" t="str">
        <x:v>ECE</x:v>
      </x:c>
      <x:c r="F55" s="10" t="str">
        <x:v>Probability
Coverage</x:v>
      </x:c>
      <x:c r="G55" s="10" t="str">
        <x:v>Max. Probability
Sum Error</x:v>
      </x:c>
      <x:c r="H55" s="3"/>
      <x:c r="I55" s="3"/>
      <x:c r="J55" s="3"/>
    </x:row>
    <x:row r="56" ht="24" customHeight="1">
      <x:c r="A56" s="3"/>
      <x:c r="B56" s="12" t="str">
        <x:v>nimble:9b</x:v>
      </x:c>
      <x:c r="C56" s="18" t="n">
        <x:v>0.7410191531631566</x:v>
      </x:c>
      <x:c r="D56" s="18" t="n">
        <x:v>0.379273352247172</x:v>
      </x:c>
      <x:c r="E56" s="18" t="n">
        <x:v>0.0919652922324913</x:v>
      </x:c>
      <x:c r="F56" s="19" t="n">
        <x:v>1</x:v>
      </x:c>
      <x:c r="G56" s="22" t="n">
        <x:v>5.551115123125784e-16</x:v>
      </x:c>
      <x:c r="H56" s="3"/>
      <x:c r="I56" s="3"/>
      <x:c r="J56" s="3"/>
    </x:row>
    <x:row r="57" ht="24" customHeight="1">
      <x:c r="A57" s="3"/>
      <x:c r="B57" s="12" t="str">
        <x:v>tev1:0.8b</x:v>
      </x:c>
      <x:c r="C57" s="18" t="n">
        <x:v>1.081502729398362</x:v>
      </x:c>
      <x:c r="D57" s="18" t="n">
        <x:v>0.5363820669006808</x:v>
      </x:c>
      <x:c r="E57" s="18" t="n">
        <x:v>0.1007677450720603</x:v>
      </x:c>
      <x:c r="F57" s="19" t="n">
        <x:v>1</x:v>
      </x:c>
      <x:c r="G57" s="22" t="n">
        <x:v>4.440892098500626e-16</x:v>
      </x:c>
      <x:c r="H57" s="3"/>
      <x:c r="I57" s="3"/>
      <x:c r="J57" s="3"/>
    </x:row>
    <x:row r="58" ht="24" customHeight="1">
      <x:c r="A58" s="3"/>
      <x:c r="B58" s="12" t="str">
        <x:v>tev1:4b</x:v>
      </x:c>
      <x:c r="C58" s="19" t="n">
        <x:v>0.7038217094989112</x:v>
      </x:c>
      <x:c r="D58" s="18" t="n">
        <x:v>0.3662788747870136</x:v>
      </x:c>
      <x:c r="E58" s="19" t="n">
        <x:v>0.024643722369057</x:v>
      </x:c>
      <x:c r="F58" s="19" t="n">
        <x:v>1</x:v>
      </x:c>
      <x:c r="G58" s="22" t="n">
        <x:v>4.440892098500626e-16</x:v>
      </x:c>
      <x:c r="H58" s="3"/>
      <x:c r="I58" s="3"/>
      <x:c r="J58" s="3"/>
    </x:row>
    <x:row r="59" ht="24" customHeight="1">
      <x:c r="A59" s="3"/>
      <x:c r="B59" s="14" t="str">
        <x:v>typesafe/jev-1.13</x:v>
      </x:c>
      <x:c r="C59" s="20" t="n">
        <x:v>1.348328070852659</x:v>
      </x:c>
      <x:c r="D59" s="21" t="n">
        <x:v>0.328234378087141</x:v>
      </x:c>
      <x:c r="E59" s="20" t="n">
        <x:v>0.0871788289435348</x:v>
      </x:c>
      <x:c r="F59" s="21" t="n">
        <x:v>1</x:v>
      </x:c>
      <x:c r="G59" s="23" t="n">
        <x:v>0.01</x:v>
      </x:c>
      <x:c r="H59" s="3"/>
      <x:c r="I59" s="3"/>
      <x:c r="J59" s="3"/>
    </x:row>
    <x:row r="60" ht="24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</x:row>
    <x:row r="61" ht="24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</x:row>
    <x:row r="62" ht="29" customHeight="1">
      <x:c r="A62" s="3"/>
      <x:c r="B62" s="4" t="str">
        <x:v>TABLE 7.</x:v>
      </x:c>
      <x:c r="C62" s="5" t="str">
        <x:v>Sentiment latency (ms).</x:v>
      </x:c>
      <x:c r="D62" s="5"/>
      <x:c r="E62" s="5"/>
      <x:c r="F62" s="3"/>
      <x:c r="G62" s="3"/>
      <x:c r="H62" s="3"/>
      <x:c r="I62" s="3"/>
      <x:c r="J62" s="3"/>
    </x:row>
    <x:row r="63" ht="21" customHeight="1">
      <x:c r="A63" s="3"/>
      <x:c r="B63" s="6" t="str">
        <x:v>Indonesian: sentiment, n = 12,760</x:v>
      </x:c>
      <x:c r="C63" s="6"/>
      <x:c r="D63" s="6"/>
      <x:c r="E63" s="6"/>
      <x:c r="F63" s="3"/>
      <x:c r="G63" s="3"/>
      <x:c r="H63" s="3"/>
      <x:c r="I63" s="3"/>
      <x:c r="J63" s="3"/>
    </x:row>
    <x:row r="64" ht="9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</x:row>
    <x:row r="65" ht="42" customHeight="1">
      <x:c r="A65" s="3"/>
      <x:c r="B65" s="11" t="str">
        <x:v>Model</x:v>
      </x:c>
      <x:c r="C65" s="10" t="str">
        <x:v>Mean (ms)</x:v>
      </x:c>
      <x:c r="D65" s="10" t="str">
        <x:v>P50 (ms)</x:v>
      </x:c>
      <x:c r="E65" s="10" t="str">
        <x:v>P95 (ms)</x:v>
      </x:c>
      <x:c r="F65" s="3"/>
      <x:c r="G65" s="3"/>
      <x:c r="H65" s="3"/>
      <x:c r="I65" s="3"/>
      <x:c r="J65" s="3"/>
    </x:row>
    <x:row r="66" ht="24" customHeight="1">
      <x:c r="A66" s="3"/>
      <x:c r="B66" s="12" t="str">
        <x:v>nimble:9b</x:v>
      </x:c>
      <x:c r="C66" s="18" t="n">
        <x:v>960.338751567398</x:v>
      </x:c>
      <x:c r="D66" s="18" t="n">
        <x:v>1030.395</x:v>
      </x:c>
      <x:c r="E66" s="18" t="n">
        <x:v>1089.15415</x:v>
      </x:c>
      <x:c r="F66" s="3"/>
      <x:c r="G66" s="3"/>
      <x:c r="H66" s="3"/>
      <x:c r="I66" s="3"/>
      <x:c r="J66" s="3"/>
    </x:row>
    <x:row r="67" ht="24" customHeight="1">
      <x:c r="A67" s="3"/>
      <x:c r="B67" s="12" t="str">
        <x:v>tev1:0.8b</x:v>
      </x:c>
      <x:c r="C67" s="18" t="n">
        <x:v>811.8424963166143</x:v>
      </x:c>
      <x:c r="D67" s="18" t="n">
        <x:v>775.0685</x:v>
      </x:c>
      <x:c r="E67" s="18" t="n">
        <x:v>1036.2134</x:v>
      </x:c>
      <x:c r="F67" s="3"/>
      <x:c r="G67" s="3"/>
      <x:c r="H67" s="3"/>
      <x:c r="I67" s="3"/>
      <x:c r="J67" s="3"/>
    </x:row>
    <x:row r="68" ht="24" customHeight="1">
      <x:c r="A68" s="3"/>
      <x:c r="B68" s="12" t="str">
        <x:v>tev1:4b</x:v>
      </x:c>
      <x:c r="C68" s="18" t="n">
        <x:v>914.9546428683386</x:v>
      </x:c>
      <x:c r="D68" s="18" t="n">
        <x:v>824.1575</x:v>
      </x:c>
      <x:c r="E68" s="18" t="n">
        <x:v>1090.98415</x:v>
      </x:c>
      <x:c r="F68" s="3"/>
      <x:c r="G68" s="3"/>
      <x:c r="H68" s="3"/>
      <x:c r="I68" s="3"/>
      <x:c r="J68" s="3"/>
    </x:row>
    <x:row r="69" ht="24" customHeight="1">
      <x:c r="A69" s="3"/>
      <x:c r="B69" s="14" t="str">
        <x:v>typesafe/jev-1.13</x:v>
      </x:c>
      <x:c r="C69" s="21" t="n">
        <x:v>303.2676910658307</x:v>
      </x:c>
      <x:c r="D69" s="21" t="n">
        <x:v>293.2345</x:v>
      </x:c>
      <x:c r="E69" s="21" t="n">
        <x:v>379.4425499999999</x:v>
      </x:c>
      <x:c r="F69" s="3"/>
      <x:c r="G69" s="3"/>
      <x:c r="H69" s="3"/>
      <x:c r="I69" s="3"/>
      <x:c r="J69" s="3"/>
    </x:row>
    <x:row r="70" ht="24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</x:row>
    <x:row r="71" ht="24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</x:row>
    <x:row r="72" ht="29" customHeight="1">
      <x:c r="A72" s="3"/>
      <x:c r="B72" s="4" t="str">
        <x:v>TABLE 8.</x:v>
      </x:c>
      <x:c r="C72" s="5" t="str">
        <x:v>Emotion latency (ms).</x:v>
      </x:c>
      <x:c r="D72" s="5"/>
      <x:c r="E72" s="5"/>
      <x:c r="F72" s="3"/>
      <x:c r="G72" s="3"/>
      <x:c r="H72" s="3"/>
      <x:c r="I72" s="3"/>
      <x:c r="J72" s="3"/>
    </x:row>
    <x:row r="73" ht="21" customHeight="1">
      <x:c r="A73" s="3"/>
      <x:c r="B73" s="6" t="str">
        <x:v>Indonesian: emotion, n = 4,403</x:v>
      </x:c>
      <x:c r="C73" s="6"/>
      <x:c r="D73" s="6"/>
      <x:c r="E73" s="6"/>
      <x:c r="F73" s="3"/>
      <x:c r="G73" s="3"/>
      <x:c r="H73" s="3"/>
      <x:c r="I73" s="3"/>
      <x:c r="J73" s="3"/>
    </x:row>
    <x:row r="74" ht="9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</x:row>
    <x:row r="75" ht="42" customHeight="1">
      <x:c r="A75" s="3"/>
      <x:c r="B75" s="11" t="str">
        <x:v>Model</x:v>
      </x:c>
      <x:c r="C75" s="10" t="str">
        <x:v>Mean (ms)</x:v>
      </x:c>
      <x:c r="D75" s="10" t="str">
        <x:v>P50 (ms)</x:v>
      </x:c>
      <x:c r="E75" s="10" t="str">
        <x:v>P95 (ms)</x:v>
      </x:c>
      <x:c r="F75" s="3"/>
      <x:c r="G75" s="3"/>
      <x:c r="H75" s="3"/>
      <x:c r="I75" s="3"/>
      <x:c r="J75" s="3"/>
    </x:row>
    <x:row r="76" ht="24" customHeight="1">
      <x:c r="A76" s="3"/>
      <x:c r="B76" s="12" t="str">
        <x:v>nimble:9b</x:v>
      </x:c>
      <x:c r="C76" s="18" t="n">
        <x:v>1025.9692500567792</x:v>
      </x:c>
      <x:c r="D76" s="18" t="n">
        <x:v>1038.798</x:v>
      </x:c>
      <x:c r="E76" s="18" t="n">
        <x:v>1203.1157999999998</x:v>
      </x:c>
      <x:c r="F76" s="3"/>
      <x:c r="G76" s="3"/>
      <x:c r="H76" s="3"/>
      <x:c r="I76" s="3"/>
      <x:c r="J76" s="3"/>
    </x:row>
    <x:row r="77" ht="24" customHeight="1">
      <x:c r="A77" s="3"/>
      <x:c r="B77" s="12" t="str">
        <x:v>tev1:0.8b</x:v>
      </x:c>
      <x:c r="C77" s="18" t="n">
        <x:v>818.7358005905064</x:v>
      </x:c>
      <x:c r="D77" s="18" t="n">
        <x:v>777.531</x:v>
      </x:c>
      <x:c r="E77" s="18" t="n">
        <x:v>1042.4292999999998</x:v>
      </x:c>
      <x:c r="F77" s="3"/>
      <x:c r="G77" s="3"/>
      <x:c r="H77" s="3"/>
      <x:c r="I77" s="3"/>
      <x:c r="J77" s="3"/>
    </x:row>
    <x:row r="78" ht="24" customHeight="1">
      <x:c r="A78" s="3"/>
      <x:c r="B78" s="12" t="str">
        <x:v>tev1:4b</x:v>
      </x:c>
      <x:c r="C78" s="18" t="n">
        <x:v>931.5117242789008</x:v>
      </x:c>
      <x:c r="D78" s="18" t="n">
        <x:v>1030.905</x:v>
      </x:c>
      <x:c r="E78" s="18" t="n">
        <x:v>1091.8321</x:v>
      </x:c>
      <x:c r="F78" s="3"/>
      <x:c r="G78" s="3"/>
      <x:c r="H78" s="3"/>
      <x:c r="I78" s="3"/>
      <x:c r="J78" s="3"/>
    </x:row>
    <x:row r="79" ht="24" customHeight="1">
      <x:c r="A79" s="3"/>
      <x:c r="B79" s="14" t="str">
        <x:v>typesafe/jev-1.13</x:v>
      </x:c>
      <x:c r="C79" s="21" t="n">
        <x:v>305.12491165114693</x:v>
      </x:c>
      <x:c r="D79" s="21" t="n">
        <x:v>291.327</x:v>
      </x:c>
      <x:c r="E79" s="21" t="n">
        <x:v>397.1694999999999</x:v>
      </x:c>
      <x:c r="F79" s="3"/>
      <x:c r="G79" s="3"/>
      <x:c r="H79" s="3"/>
      <x:c r="I79" s="3"/>
      <x:c r="J79" s="3"/>
    </x:row>
    <x:row r="80" ht="24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</x:row>
    <x:row r="81" ht="24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</x:row>
    <x:row r="82" ht="29" customHeight="1">
      <x:c r="A82" s="3"/>
      <x:c r="B82" s="4" t="str">
        <x:v>TABLE 9.</x:v>
      </x:c>
      <x:c r="C82" s="5" t="str">
        <x:v>Sentiment evaluation coverage.</x:v>
      </x:c>
      <x:c r="D82" s="5"/>
      <x:c r="E82" s="5"/>
      <x:c r="F82" s="5"/>
      <x:c r="G82" s="5"/>
      <x:c r="H82" s="5"/>
      <x:c r="I82" s="3"/>
      <x:c r="J82" s="3"/>
    </x:row>
    <x:row r="83" ht="21" customHeight="1">
      <x:c r="A83" s="3"/>
      <x:c r="B83" s="6" t="str">
        <x:v>Indonesian: sentiment, n = 12,760</x:v>
      </x:c>
      <x:c r="C83" s="6"/>
      <x:c r="D83" s="6"/>
      <x:c r="E83" s="6"/>
      <x:c r="F83" s="6"/>
      <x:c r="G83" s="6"/>
      <x:c r="H83" s="6"/>
      <x:c r="I83" s="3"/>
      <x:c r="J83" s="3"/>
    </x:row>
    <x:row r="84" ht="9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</x:row>
    <x:row r="85" ht="42" customHeight="1">
      <x:c r="A85" s="3"/>
      <x:c r="B85" s="11" t="str">
        <x:v>Model</x:v>
      </x:c>
      <x:c r="C85" s="10" t="str">
        <x:v>Total</x:v>
      </x:c>
      <x:c r="D85" s="10" t="str">
        <x:v>Successful</x:v>
      </x:c>
      <x:c r="E85" s="10" t="str">
        <x:v>Errors</x:v>
      </x:c>
      <x:c r="F85" s="10" t="str">
        <x:v>Error Rate</x:v>
      </x:c>
      <x:c r="G85" s="10" t="str">
        <x:v>Probability
Records</x:v>
      </x:c>
      <x:c r="H85" s="10" t="str">
        <x:v>Choice
Mismatches</x:v>
      </x:c>
      <x:c r="I85" s="3"/>
      <x:c r="J85" s="3"/>
    </x:row>
    <x:row r="86" ht="24" customHeight="1">
      <x:c r="A86" s="3"/>
      <x:c r="B86" s="12" t="str">
        <x:v>nimble:9b</x:v>
      </x:c>
      <x:c r="C86" s="24" t="n">
        <x:v>12760</x:v>
      </x:c>
      <x:c r="D86" s="24" t="n">
        <x:v>12760</x:v>
      </x:c>
      <x:c r="E86" s="24" t="n">
        <x:v>0</x:v>
      </x:c>
      <x:c r="F86" s="16" t="n">
        <x:v>0</x:v>
      </x:c>
      <x:c r="G86" s="24" t="n">
        <x:v>12760</x:v>
      </x:c>
      <x:c r="H86" s="24" t="n">
        <x:v>0</x:v>
      </x:c>
      <x:c r="I86" s="3"/>
      <x:c r="J86" s="3"/>
    </x:row>
    <x:row r="87" ht="24" customHeight="1">
      <x:c r="A87" s="3"/>
      <x:c r="B87" s="12" t="str">
        <x:v>tev1:0.8b</x:v>
      </x:c>
      <x:c r="C87" s="24" t="n">
        <x:v>12760</x:v>
      </x:c>
      <x:c r="D87" s="24" t="n">
        <x:v>12760</x:v>
      </x:c>
      <x:c r="E87" s="24" t="n">
        <x:v>0</x:v>
      </x:c>
      <x:c r="F87" s="16" t="n">
        <x:v>0</x:v>
      </x:c>
      <x:c r="G87" s="24" t="n">
        <x:v>12760</x:v>
      </x:c>
      <x:c r="H87" s="24" t="n">
        <x:v>0</x:v>
      </x:c>
      <x:c r="I87" s="3"/>
      <x:c r="J87" s="3"/>
    </x:row>
    <x:row r="88" ht="24" customHeight="1">
      <x:c r="A88" s="3"/>
      <x:c r="B88" s="12" t="str">
        <x:v>tev1:4b</x:v>
      </x:c>
      <x:c r="C88" s="24" t="n">
        <x:v>12760</x:v>
      </x:c>
      <x:c r="D88" s="24" t="n">
        <x:v>12760</x:v>
      </x:c>
      <x:c r="E88" s="24" t="n">
        <x:v>0</x:v>
      </x:c>
      <x:c r="F88" s="16" t="n">
        <x:v>0</x:v>
      </x:c>
      <x:c r="G88" s="24" t="n">
        <x:v>12760</x:v>
      </x:c>
      <x:c r="H88" s="24" t="n">
        <x:v>0</x:v>
      </x:c>
      <x:c r="I88" s="3"/>
      <x:c r="J88" s="3"/>
    </x:row>
    <x:row r="89" ht="24" customHeight="1">
      <x:c r="A89" s="3"/>
      <x:c r="B89" s="14" t="str">
        <x:v>typesafe/jev-1.13</x:v>
      </x:c>
      <x:c r="C89" s="25" t="n">
        <x:v>12760</x:v>
      </x:c>
      <x:c r="D89" s="25" t="n">
        <x:v>12760</x:v>
      </x:c>
      <x:c r="E89" s="25" t="n">
        <x:v>0</x:v>
      </x:c>
      <x:c r="F89" s="17" t="n">
        <x:v>0</x:v>
      </x:c>
      <x:c r="G89" s="25" t="n">
        <x:v>12760</x:v>
      </x:c>
      <x:c r="H89" s="25" t="n">
        <x:v>12</x:v>
      </x:c>
      <x:c r="I89" s="3"/>
      <x:c r="J89" s="3"/>
    </x:row>
    <x:row r="90" ht="24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</x:row>
    <x:row r="91" ht="24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</x:row>
    <x:row r="92" ht="29" customHeight="1">
      <x:c r="A92" s="3"/>
      <x:c r="B92" s="4" t="str">
        <x:v>TABLE 10.</x:v>
      </x:c>
      <x:c r="C92" s="5" t="str">
        <x:v>Emotion evaluation coverage.</x:v>
      </x:c>
      <x:c r="D92" s="5"/>
      <x:c r="E92" s="5"/>
      <x:c r="F92" s="5"/>
      <x:c r="G92" s="5"/>
      <x:c r="H92" s="5"/>
      <x:c r="I92" s="3"/>
      <x:c r="J92" s="3"/>
    </x:row>
    <x:row r="93" ht="21" customHeight="1">
      <x:c r="A93" s="3"/>
      <x:c r="B93" s="6" t="str">
        <x:v>Indonesian: emotion, n = 4,403</x:v>
      </x:c>
      <x:c r="C93" s="6"/>
      <x:c r="D93" s="6"/>
      <x:c r="E93" s="6"/>
      <x:c r="F93" s="6"/>
      <x:c r="G93" s="6"/>
      <x:c r="H93" s="6"/>
      <x:c r="I93" s="3"/>
      <x:c r="J93" s="3"/>
    </x:row>
    <x:row r="94" ht="9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</x:row>
    <x:row r="95" ht="42" customHeight="1">
      <x:c r="A95" s="3"/>
      <x:c r="B95" s="11" t="str">
        <x:v>Model</x:v>
      </x:c>
      <x:c r="C95" s="10" t="str">
        <x:v>Total</x:v>
      </x:c>
      <x:c r="D95" s="10" t="str">
        <x:v>Successful</x:v>
      </x:c>
      <x:c r="E95" s="10" t="str">
        <x:v>Errors</x:v>
      </x:c>
      <x:c r="F95" s="10" t="str">
        <x:v>Error Rate</x:v>
      </x:c>
      <x:c r="G95" s="10" t="str">
        <x:v>Probability
Records</x:v>
      </x:c>
      <x:c r="H95" s="10" t="str">
        <x:v>Choice
Mismatches</x:v>
      </x:c>
      <x:c r="I95" s="3"/>
      <x:c r="J95" s="3"/>
    </x:row>
    <x:row r="96" ht="24" customHeight="1">
      <x:c r="A96" s="3"/>
      <x:c r="B96" s="12" t="str">
        <x:v>nimble:9b</x:v>
      </x:c>
      <x:c r="C96" s="24" t="n">
        <x:v>4403</x:v>
      </x:c>
      <x:c r="D96" s="24" t="n">
        <x:v>4403</x:v>
      </x:c>
      <x:c r="E96" s="24" t="n">
        <x:v>0</x:v>
      </x:c>
      <x:c r="F96" s="16" t="n">
        <x:v>0</x:v>
      </x:c>
      <x:c r="G96" s="24" t="n">
        <x:v>4403</x:v>
      </x:c>
      <x:c r="H96" s="24" t="n">
        <x:v>0</x:v>
      </x:c>
      <x:c r="I96" s="3"/>
      <x:c r="J96" s="3"/>
    </x:row>
    <x:row r="97" ht="24" customHeight="1">
      <x:c r="A97" s="3"/>
      <x:c r="B97" s="12" t="str">
        <x:v>tev1:0.8b</x:v>
      </x:c>
      <x:c r="C97" s="24" t="n">
        <x:v>4403</x:v>
      </x:c>
      <x:c r="D97" s="24" t="n">
        <x:v>4403</x:v>
      </x:c>
      <x:c r="E97" s="24" t="n">
        <x:v>0</x:v>
      </x:c>
      <x:c r="F97" s="16" t="n">
        <x:v>0</x:v>
      </x:c>
      <x:c r="G97" s="24" t="n">
        <x:v>4403</x:v>
      </x:c>
      <x:c r="H97" s="24" t="n">
        <x:v>0</x:v>
      </x:c>
      <x:c r="I97" s="3"/>
      <x:c r="J97" s="3"/>
    </x:row>
    <x:row r="98" ht="24" customHeight="1">
      <x:c r="A98" s="3"/>
      <x:c r="B98" s="12" t="str">
        <x:v>tev1:4b</x:v>
      </x:c>
      <x:c r="C98" s="24" t="n">
        <x:v>4403</x:v>
      </x:c>
      <x:c r="D98" s="24" t="n">
        <x:v>4403</x:v>
      </x:c>
      <x:c r="E98" s="24" t="n">
        <x:v>0</x:v>
      </x:c>
      <x:c r="F98" s="16" t="n">
        <x:v>0</x:v>
      </x:c>
      <x:c r="G98" s="24" t="n">
        <x:v>4403</x:v>
      </x:c>
      <x:c r="H98" s="24" t="n">
        <x:v>0</x:v>
      </x:c>
      <x:c r="I98" s="3"/>
      <x:c r="J98" s="3"/>
    </x:row>
    <x:row r="99" ht="24" customHeight="1">
      <x:c r="A99" s="3"/>
      <x:c r="B99" s="14" t="str">
        <x:v>typesafe/jev-1.13</x:v>
      </x:c>
      <x:c r="C99" s="25" t="n">
        <x:v>4403</x:v>
      </x:c>
      <x:c r="D99" s="25" t="n">
        <x:v>4403</x:v>
      </x:c>
      <x:c r="E99" s="25" t="n">
        <x:v>0</x:v>
      </x:c>
      <x:c r="F99" s="17" t="n">
        <x:v>0</x:v>
      </x:c>
      <x:c r="G99" s="25" t="n">
        <x:v>4403</x:v>
      </x:c>
      <x:c r="H99" s="25" t="n">
        <x:v>7</x:v>
      </x:c>
      <x:c r="I99" s="3"/>
      <x:c r="J99" s="3"/>
    </x:row>
    <x:row r="100" ht="24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</x:row>
    <x:row r="101" ht="24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</x:row>
    <x:row r="102" ht="23" customHeight="1">
      <x:c r="A102" s="3"/>
      <x:c r="B102" s="6" t="str">
        <x:v>Bold marks the best exact value within each country and task; ties are included.</x:v>
      </x:c>
      <x:c r="C102" s="6"/>
      <x:c r="D102" s="6"/>
      <x:c r="E102" s="6"/>
      <x:c r="F102" s="6"/>
      <x:c r="G102" s="6"/>
      <x:c r="H102" s="6"/>
      <x:c r="I102" s="3"/>
      <x:c r="J102" s="3"/>
    </x:row>
    <x:row r="103" ht="23" customHeight="1">
      <x:c r="A103" s="3"/>
      <x:c r="B103" s="6" t="str">
        <x:v>Higher is better for accuracy, F1 and probability coverage. Lower is better for loss, Brier, ECE and latency.</x:v>
      </x:c>
      <x:c r="C103" s="6"/>
      <x:c r="D103" s="6"/>
      <x:c r="E103" s="6"/>
      <x:c r="F103" s="6"/>
      <x:c r="G103" s="6"/>
      <x:c r="H103" s="6"/>
      <x:c r="I103" s="3"/>
      <x:c r="J103" s="3"/>
    </x:row>
    <x:row r="104" ht="23" customHeight="1">
      <x:c r="A104" s="3"/>
      <x:c r="B104" s="6" t="str">
        <x:v>Scores display three decimals; underlying values retain source precision. Confidence interval levels were not specified.</x:v>
      </x:c>
      <x:c r="C104" s="6"/>
      <x:c r="D104" s="6"/>
      <x:c r="E104" s="6"/>
      <x:c r="F104" s="6"/>
      <x:c r="G104" s="6"/>
      <x:c r="H104" s="6"/>
      <x:c r="I104" s="3"/>
      <x:c r="J104" s="3"/>
    </x:row>
    <x:row r="105" ht="23" customHeight="1">
      <x:c r="A105" s="3"/>
      <x:c r="B105" s="6" t="str">
        <x:v>Per-class precision, recall, F1, and support are included in the tables below.</x:v>
      </x:c>
      <x:c r="C105" s="6"/>
      <x:c r="D105" s="6"/>
      <x:c r="E105" s="6"/>
      <x:c r="F105" s="6"/>
      <x:c r="G105" s="6"/>
      <x:c r="H105" s="6"/>
      <x:c r="I105" s="3"/>
      <x:c r="J105" s="3"/>
    </x:row>
    <x:row r="106" ht="23" customHeight="1">
      <x:c r="A106" s="3"/>
      <x:c r="B106" s="6" t="str">
        <x:v>Source: summary_indonesian_sentiment_emotion.csv</x:v>
      </x:c>
      <x:c r="C106" s="6"/>
      <x:c r="D106" s="6"/>
      <x:c r="E106" s="6"/>
      <x:c r="F106" s="6"/>
      <x:c r="G106" s="6"/>
      <x:c r="H106" s="6"/>
      <x:c r="I106" s="3"/>
      <x:c r="J106" s="3"/>
    </x:row>
    <x:row r="107" ht="23" customHeight="1">
      <x:c r="A107" s="3"/>
      <x:c r="B107" s="6" t="str">
        <x:v>Source: per_class_metrics_indonesian.csv</x:v>
      </x:c>
      <x:c r="C107" s="6"/>
      <x:c r="D107" s="6"/>
      <x:c r="E107" s="6"/>
      <x:c r="F107" s="6"/>
      <x:c r="G107" s="6"/>
      <x:c r="H107" s="6"/>
      <x:c r="I107" s="3"/>
      <x:c r="J107" s="3"/>
    </x:row>
    <x:row r="108" ht="24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</x:row>
    <x:row r="109" ht="24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</x:row>
    <x:row r="110" ht="24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</x:row>
    <x:row r="111" ht="24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</x:row>
    <x:row r="112" ht="29" customHeight="1">
      <x:c r="A112" s="33"/>
      <x:c r="B112" s="36" t="str">
        <x:v>TABLE 11.</x:v>
      </x:c>
      <x:c r="C112" s="37" t="str">
        <x:v>Sentiment classification precision.</x:v>
      </x:c>
      <x:c r="D112" s="37"/>
      <x:c r="E112" s="37"/>
      <x:c r="F112" s="37"/>
      <x:c r="G112" s="33"/>
      <x:c r="H112" s="33"/>
      <x:c r="I112" s="33"/>
      <x:c r="J112" s="33"/>
      <x:c r="K112" s="33"/>
      <x:c r="L112" s="33"/>
    </x:row>
    <x:row r="113" ht="21" customHeight="1">
      <x:c r="A113" s="33"/>
      <x:c r="B113" s="38" t="str">
        <x:v>Indonesian: sentiment, n = 12,760</x:v>
      </x:c>
      <x:c r="C113" s="38"/>
      <x:c r="D113" s="38"/>
      <x:c r="E113" s="38"/>
      <x:c r="F113" s="38"/>
      <x:c r="G113" s="33"/>
      <x:c r="H113" s="33"/>
      <x:c r="I113" s="33"/>
      <x:c r="J113" s="33"/>
      <x:c r="K113" s="33"/>
      <x:c r="L113" s="33"/>
    </x:row>
    <x:row r="114" ht="9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</x:row>
    <x:row r="115" ht="42" customHeight="1">
      <x:c r="A115" s="33"/>
      <x:c r="B115" s="43" t="str">
        <x:v>Model</x:v>
      </x:c>
      <x:c r="C115" s="42" t="str">
        <x:v>positive</x:v>
      </x:c>
      <x:c r="D115" s="42" t="str">
        <x:v>negative</x:v>
      </x:c>
      <x:c r="E115" s="42" t="str">
        <x:v>neutral</x:v>
      </x:c>
      <x:c r="F115" s="42" t="str">
        <x:v>Macro-
Precision</x:v>
      </x:c>
      <x:c r="G115" s="33"/>
      <x:c r="H115" s="33"/>
      <x:c r="I115" s="33"/>
      <x:c r="J115" s="33"/>
      <x:c r="K115" s="33"/>
      <x:c r="L115" s="33"/>
    </x:row>
    <x:row r="116" ht="24" customHeight="1">
      <x:c r="A116" s="33"/>
      <x:c r="B116" s="44" t="str">
        <x:v>nimble:9b</x:v>
      </x:c>
      <x:c r="C116" s="49" t="n">
        <x:v>0.9289491525423728</x:v>
      </x:c>
      <x:c r="D116" s="49" t="n">
        <x:v>0.8714726108608015</x:v>
      </x:c>
      <x:c r="E116" s="51" t="n">
        <x:v>0.6797945205479452</x:v>
      </x:c>
      <x:c r="F116" s="51" t="n">
        <x:f>AVERAGE(C116:E116)</x:f>
        <x:v>0.8267387613170398</x:v>
      </x:c>
      <x:c r="G116" s="33"/>
      <x:c r="H116" s="33"/>
      <x:c r="I116" s="33"/>
      <x:c r="J116" s="33"/>
      <x:c r="K116" s="33"/>
      <x:c r="L116" s="33"/>
    </x:row>
    <x:row r="117" ht="24" customHeight="1">
      <x:c r="A117" s="33"/>
      <x:c r="B117" s="44" t="str">
        <x:v>tev1:0.8b</x:v>
      </x:c>
      <x:c r="C117" s="49" t="n">
        <x:v>0.9128832547169812</x:v>
      </x:c>
      <x:c r="D117" s="49" t="n">
        <x:v>0.8295918367346938</x:v>
      </x:c>
      <x:c r="E117" s="49" t="n">
        <x:v>0.3219844357976654</x:v>
      </x:c>
      <x:c r="F117" s="49" t="n">
        <x:f>AVERAGE(C117:E117)</x:f>
        <x:v>0.6881531757497802</x:v>
      </x:c>
      <x:c r="G117" s="33"/>
      <x:c r="H117" s="33"/>
      <x:c r="I117" s="33"/>
      <x:c r="J117" s="33"/>
      <x:c r="K117" s="33"/>
      <x:c r="L117" s="33"/>
    </x:row>
    <x:row r="118" ht="24" customHeight="1">
      <x:c r="A118" s="33"/>
      <x:c r="B118" s="44" t="str">
        <x:v>tev1:4b</x:v>
      </x:c>
      <x:c r="C118" s="49" t="n">
        <x:v>0.9489854244069734</x:v>
      </x:c>
      <x:c r="D118" s="51" t="n">
        <x:v>0.91619812583668</x:v>
      </x:c>
      <x:c r="E118" s="49" t="n">
        <x:v>0.4913665515540207</x:v>
      </x:c>
      <x:c r="F118" s="49" t="n">
        <x:f>AVERAGE(C118:E118)</x:f>
        <x:v>0.7855167005992247</x:v>
      </x:c>
      <x:c r="G118" s="33"/>
      <x:c r="H118" s="33"/>
      <x:c r="I118" s="33"/>
      <x:c r="J118" s="33"/>
      <x:c r="K118" s="33"/>
      <x:c r="L118" s="33"/>
    </x:row>
    <x:row r="119" ht="24" customHeight="1">
      <x:c r="A119" s="33"/>
      <x:c r="B119" s="47" t="str">
        <x:v>typesafe/jev-1.13</x:v>
      </x:c>
      <x:c r="C119" s="50" t="n">
        <x:v>0.9516474112109542</x:v>
      </x:c>
      <x:c r="D119" s="52" t="n">
        <x:v>0.8499115826702034</x:v>
      </x:c>
      <x:c r="E119" s="52" t="n">
        <x:v>0.6669387755102041</x:v>
      </x:c>
      <x:c r="F119" s="52" t="n">
        <x:f>AVERAGE(C119:E119)</x:f>
        <x:v>0.8228325897971205</x:v>
      </x:c>
      <x:c r="G119" s="33"/>
      <x:c r="H119" s="33"/>
      <x:c r="I119" s="33"/>
      <x:c r="J119" s="33"/>
      <x:c r="K119" s="33"/>
      <x:c r="L119" s="33"/>
    </x:row>
    <x:row r="120" ht="24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</x:row>
    <x:row r="121" ht="24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</x:row>
    <x:row r="122" ht="29" customHeight="1">
      <x:c r="A122" s="33"/>
      <x:c r="B122" s="36" t="str">
        <x:v>TABLE 12.</x:v>
      </x:c>
      <x:c r="C122" s="37" t="str">
        <x:v>Sentiment classification recall.</x:v>
      </x:c>
      <x:c r="D122" s="37"/>
      <x:c r="E122" s="37"/>
      <x:c r="F122" s="37"/>
      <x:c r="G122" s="33"/>
      <x:c r="H122" s="33"/>
      <x:c r="I122" s="33"/>
      <x:c r="J122" s="33"/>
      <x:c r="K122" s="33"/>
      <x:c r="L122" s="33"/>
    </x:row>
    <x:row r="123" ht="21" customHeight="1">
      <x:c r="A123" s="33"/>
      <x:c r="B123" s="38" t="str">
        <x:v>Indonesian: sentiment, n = 12,760</x:v>
      </x:c>
      <x:c r="C123" s="38"/>
      <x:c r="D123" s="38"/>
      <x:c r="E123" s="38"/>
      <x:c r="F123" s="38"/>
      <x:c r="G123" s="33"/>
      <x:c r="H123" s="33"/>
      <x:c r="I123" s="33"/>
      <x:c r="J123" s="33"/>
      <x:c r="K123" s="33"/>
      <x:c r="L123" s="33"/>
    </x:row>
    <x:row r="124" ht="9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</x:row>
    <x:row r="125" ht="42" customHeight="1">
      <x:c r="A125" s="33"/>
      <x:c r="B125" s="43" t="str">
        <x:v>Model</x:v>
      </x:c>
      <x:c r="C125" s="42" t="str">
        <x:v>positive</x:v>
      </x:c>
      <x:c r="D125" s="42" t="str">
        <x:v>negative</x:v>
      </x:c>
      <x:c r="E125" s="42" t="str">
        <x:v>neutral</x:v>
      </x:c>
      <x:c r="F125" s="42" t="str">
        <x:v>Macro-
Recall</x:v>
      </x:c>
      <x:c r="G125" s="33"/>
      <x:c r="H125" s="33"/>
      <x:c r="I125" s="33"/>
      <x:c r="J125" s="33"/>
      <x:c r="K125" s="33"/>
      <x:c r="L125" s="33"/>
    </x:row>
    <x:row r="126" ht="24" customHeight="1">
      <x:c r="A126" s="33"/>
      <x:c r="B126" s="44" t="str">
        <x:v>nimble:9b</x:v>
      </x:c>
      <x:c r="C126" s="51" t="n">
        <x:v>0.9309688816415274</x:v>
      </x:c>
      <x:c r="D126" s="49" t="n">
        <x:v>0.9110064452156668</x:v>
      </x:c>
      <x:c r="E126" s="49" t="n">
        <x:v>0.5808339429407462</x:v>
      </x:c>
      <x:c r="F126" s="49" t="n">
        <x:f>AVERAGE(C126:E126)</x:f>
        <x:v>0.8076030899326468</x:v>
      </x:c>
      <x:c r="G126" s="33"/>
      <x:c r="H126" s="33"/>
      <x:c r="I126" s="33"/>
      <x:c r="J126" s="33"/>
      <x:c r="K126" s="33"/>
      <x:c r="L126" s="33"/>
    </x:row>
    <x:row r="127" ht="24" customHeight="1">
      <x:c r="A127" s="33"/>
      <x:c r="B127" s="44" t="str">
        <x:v>tev1:0.8b</x:v>
      </x:c>
      <x:c r="C127" s="49" t="n">
        <x:v>0.8415545590433483</x:v>
      </x:c>
      <x:c r="D127" s="49" t="n">
        <x:v>0.8061477441745166</x:v>
      </x:c>
      <x:c r="E127" s="49" t="n">
        <x:v>0.4842721287490856</x:v>
      </x:c>
      <x:c r="F127" s="49" t="n">
        <x:f>AVERAGE(C127:E127)</x:f>
        <x:v>0.7106581439889834</x:v>
      </x:c>
      <x:c r="G127" s="33"/>
      <x:c r="H127" s="33"/>
      <x:c r="I127" s="33"/>
      <x:c r="J127" s="33"/>
      <x:c r="K127" s="33"/>
      <x:c r="L127" s="33"/>
    </x:row>
    <x:row r="128" ht="24" customHeight="1">
      <x:c r="A128" s="33"/>
      <x:c r="B128" s="44" t="str">
        <x:v>tev1:4b</x:v>
      </x:c>
      <x:c r="C128" s="49" t="n">
        <x:v>0.9024323957059384</x:v>
      </x:c>
      <x:c r="D128" s="49" t="n">
        <x:v>0.8482895389191869</x:v>
      </x:c>
      <x:c r="E128" s="51" t="n">
        <x:v>0.7286027798098025</x:v>
      </x:c>
      <x:c r="F128" s="51" t="n">
        <x:f>AVERAGE(C128:E128)</x:f>
        <x:v>0.8264415714783092</x:v>
      </x:c>
      <x:c r="G128" s="33"/>
      <x:c r="H128" s="33"/>
      <x:c r="I128" s="33"/>
      <x:c r="J128" s="33"/>
      <x:c r="K128" s="33"/>
      <x:c r="L128" s="33"/>
    </x:row>
    <x:row r="129" ht="24" customHeight="1">
      <x:c r="A129" s="33"/>
      <x:c r="B129" s="47" t="str">
        <x:v>typesafe/jev-1.13</x:v>
      </x:c>
      <x:c r="C129" s="52" t="n">
        <x:v>0.9066449245821444</x:v>
      </x:c>
      <x:c r="D129" s="50" t="n">
        <x:v>0.9531482399603372</x:v>
      </x:c>
      <x:c r="E129" s="52" t="n">
        <x:v>0.5976591075347476</x:v>
      </x:c>
      <x:c r="F129" s="52" t="n">
        <x:f>AVERAGE(C129:E129)</x:f>
        <x:v>0.8191507573590764</x:v>
      </x:c>
      <x:c r="G129" s="33"/>
      <x:c r="H129" s="33"/>
      <x:c r="I129" s="33"/>
      <x:c r="J129" s="33"/>
      <x:c r="K129" s="33"/>
      <x:c r="L129" s="33"/>
    </x:row>
    <x:row r="130" ht="24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</x:row>
    <x:row r="131" ht="24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</x:row>
    <x:row r="132" ht="29" customHeight="1">
      <x:c r="A132" s="33"/>
      <x:c r="B132" s="36" t="str">
        <x:v>TABLE 13.</x:v>
      </x:c>
      <x:c r="C132" s="37" t="str">
        <x:v>Sentiment classification F1.</x:v>
      </x:c>
      <x:c r="D132" s="37"/>
      <x:c r="E132" s="37"/>
      <x:c r="F132" s="37"/>
      <x:c r="G132" s="33"/>
      <x:c r="H132" s="33"/>
      <x:c r="I132" s="33"/>
      <x:c r="J132" s="33"/>
      <x:c r="K132" s="33"/>
      <x:c r="L132" s="33"/>
    </x:row>
    <x:row r="133" ht="21" customHeight="1">
      <x:c r="A133" s="33"/>
      <x:c r="B133" s="38" t="str">
        <x:v>Indonesian: sentiment, n = 12,760</x:v>
      </x:c>
      <x:c r="C133" s="38"/>
      <x:c r="D133" s="38"/>
      <x:c r="E133" s="38"/>
      <x:c r="F133" s="38"/>
      <x:c r="G133" s="33"/>
      <x:c r="H133" s="33"/>
      <x:c r="I133" s="33"/>
      <x:c r="J133" s="33"/>
      <x:c r="K133" s="33"/>
      <x:c r="L133" s="33"/>
    </x:row>
    <x:row r="134" ht="9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</x:row>
    <x:row r="135" ht="42" customHeight="1">
      <x:c r="A135" s="33"/>
      <x:c r="B135" s="43" t="str">
        <x:v>Model</x:v>
      </x:c>
      <x:c r="C135" s="42" t="str">
        <x:v>positive</x:v>
      </x:c>
      <x:c r="D135" s="42" t="str">
        <x:v>negative</x:v>
      </x:c>
      <x:c r="E135" s="42" t="str">
        <x:v>neutral</x:v>
      </x:c>
      <x:c r="F135" s="42" t="str">
        <x:v>Macro-F1</x:v>
      </x:c>
      <x:c r="G135" s="33"/>
      <x:c r="H135" s="33"/>
      <x:c r="I135" s="33"/>
      <x:c r="J135" s="33"/>
      <x:c r="K135" s="33"/>
      <x:c r="L135" s="33"/>
    </x:row>
    <x:row r="136" ht="24" customHeight="1">
      <x:c r="A136" s="33"/>
      <x:c r="B136" s="44" t="str">
        <x:v>nimble:9b</x:v>
      </x:c>
      <x:c r="C136" s="51" t="n">
        <x:v>0.929957920456088</x:v>
      </x:c>
      <x:c r="D136" s="49" t="n">
        <x:v>0.8908011150163616</x:v>
      </x:c>
      <x:c r="E136" s="49" t="n">
        <x:v>0.6264299802761342</x:v>
      </x:c>
      <x:c r="F136" s="49" t="n">
        <x:f>AVERAGE(C136:E136)</x:f>
        <x:v>0.8157296719161945</x:v>
      </x:c>
      <x:c r="G136" s="33"/>
      <x:c r="H136" s="33"/>
      <x:c r="I136" s="33"/>
      <x:c r="J136" s="33"/>
      <x:c r="K136" s="33"/>
      <x:c r="L136" s="33"/>
    </x:row>
    <x:row r="137" ht="24" customHeight="1">
      <x:c r="A137" s="33"/>
      <x:c r="B137" s="44" t="str">
        <x:v>tev1:0.8b</x:v>
      </x:c>
      <x:c r="C137" s="49" t="n">
        <x:v>0.8757689316269532</x:v>
      </x:c>
      <x:c r="D137" s="49" t="n">
        <x:v>0.8177017852652754</x:v>
      </x:c>
      <x:c r="E137" s="49" t="n">
        <x:v>0.3867952088810985</x:v>
      </x:c>
      <x:c r="F137" s="49" t="n">
        <x:f>AVERAGE(C137:E137)</x:f>
        <x:v>0.6934219752577757</x:v>
      </x:c>
      <x:c r="G137" s="33"/>
      <x:c r="H137" s="33"/>
      <x:c r="I137" s="33"/>
      <x:c r="J137" s="33"/>
      <x:c r="K137" s="33"/>
      <x:c r="L137" s="33"/>
    </x:row>
    <x:row r="138" ht="24" customHeight="1">
      <x:c r="A138" s="33"/>
      <x:c r="B138" s="44" t="str">
        <x:v>tev1:4b</x:v>
      </x:c>
      <x:c r="C138" s="49" t="n">
        <x:v>0.9251236330709758</x:v>
      </x:c>
      <x:c r="D138" s="49" t="n">
        <x:v>0.8809370575363624</x:v>
      </x:c>
      <x:c r="E138" s="49" t="n">
        <x:v>0.5869180907483795</x:v>
      </x:c>
      <x:c r="F138" s="49" t="n">
        <x:f>AVERAGE(C138:E138)</x:f>
        <x:v>0.7976595937852392</x:v>
      </x:c>
      <x:c r="G138" s="33"/>
      <x:c r="H138" s="33"/>
      <x:c r="I138" s="33"/>
      <x:c r="J138" s="33"/>
      <x:c r="K138" s="33"/>
      <x:c r="L138" s="33"/>
    </x:row>
    <x:row r="139" ht="24" customHeight="1">
      <x:c r="A139" s="33"/>
      <x:c r="B139" s="47" t="str">
        <x:v>typesafe/jev-1.13</x:v>
      </x:c>
      <x:c r="C139" s="52" t="n">
        <x:v>0.9286012526096034</x:v>
      </x:c>
      <x:c r="D139" s="50" t="n">
        <x:v>0.8985744332788035</x:v>
      </x:c>
      <x:c r="E139" s="50" t="n">
        <x:v>0.6304012345679012</x:v>
      </x:c>
      <x:c r="F139" s="50" t="n">
        <x:f>AVERAGE(C139:E139)</x:f>
        <x:v>0.8191923068187693</x:v>
      </x:c>
      <x:c r="G139" s="33"/>
      <x:c r="H139" s="33"/>
      <x:c r="I139" s="33"/>
      <x:c r="J139" s="33"/>
      <x:c r="K139" s="33"/>
      <x:c r="L139" s="33"/>
    </x:row>
    <x:row r="140" ht="24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</x:row>
    <x:row r="141" ht="24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</x:row>
    <x:row r="142" ht="29" customHeight="1">
      <x:c r="A142" s="33"/>
      <x:c r="B142" s="36" t="str">
        <x:v>TABLE 14.</x:v>
      </x:c>
      <x:c r="C142" s="37" t="str">
        <x:v>Sentiment classification support.</x:v>
      </x:c>
      <x:c r="D142" s="37"/>
      <x:c r="E142" s="37"/>
      <x:c r="F142" s="37"/>
      <x:c r="G142" s="33"/>
      <x:c r="H142" s="33"/>
      <x:c r="I142" s="33"/>
      <x:c r="J142" s="33"/>
      <x:c r="K142" s="33"/>
      <x:c r="L142" s="33"/>
    </x:row>
    <x:row r="143" ht="21" customHeight="1">
      <x:c r="A143" s="33"/>
      <x:c r="B143" s="38" t="str">
        <x:v>Indonesian: sentiment, n = 12,760</x:v>
      </x:c>
      <x:c r="C143" s="38"/>
      <x:c r="D143" s="38"/>
      <x:c r="E143" s="38"/>
      <x:c r="F143" s="38"/>
      <x:c r="G143" s="33"/>
      <x:c r="H143" s="33"/>
      <x:c r="I143" s="33"/>
      <x:c r="J143" s="33"/>
      <x:c r="K143" s="33"/>
      <x:c r="L143" s="33"/>
    </x:row>
    <x:row r="144" ht="9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</x:row>
    <x:row r="145" ht="42" customHeight="1">
      <x:c r="A145" s="33"/>
      <x:c r="B145" s="43" t="str">
        <x:v>Model</x:v>
      </x:c>
      <x:c r="C145" s="42" t="str">
        <x:v>positive</x:v>
      </x:c>
      <x:c r="D145" s="42" t="str">
        <x:v>negative</x:v>
      </x:c>
      <x:c r="E145" s="42" t="str">
        <x:v>neutral</x:v>
      </x:c>
      <x:c r="F145" s="42" t="str">
        <x:v>Total</x:v>
      </x:c>
      <x:c r="G145" s="33"/>
      <x:c r="H145" s="33"/>
      <x:c r="I145" s="33"/>
      <x:c r="J145" s="33"/>
      <x:c r="K145" s="33"/>
      <x:c r="L145" s="33"/>
    </x:row>
    <x:row r="146" ht="24" customHeight="1">
      <x:c r="A146" s="33"/>
      <x:c r="B146" s="44" t="str">
        <x:v>nimble:9b</x:v>
      </x:c>
      <x:c r="C146" s="53" t="n">
        <x:v>7359</x:v>
      </x:c>
      <x:c r="D146" s="53" t="n">
        <x:v>4034</x:v>
      </x:c>
      <x:c r="E146" s="53" t="n">
        <x:v>1367</x:v>
      </x:c>
      <x:c r="F146" s="53" t="n">
        <x:f>SUM(C146:E146)</x:f>
        <x:v>12760</x:v>
      </x:c>
      <x:c r="G146" s="33"/>
      <x:c r="H146" s="33"/>
      <x:c r="I146" s="33"/>
      <x:c r="J146" s="33"/>
      <x:c r="K146" s="33"/>
      <x:c r="L146" s="33"/>
    </x:row>
    <x:row r="147" ht="24" customHeight="1">
      <x:c r="A147" s="33"/>
      <x:c r="B147" s="44" t="str">
        <x:v>tev1:0.8b</x:v>
      </x:c>
      <x:c r="C147" s="53" t="n">
        <x:v>7359</x:v>
      </x:c>
      <x:c r="D147" s="53" t="n">
        <x:v>4034</x:v>
      </x:c>
      <x:c r="E147" s="53" t="n">
        <x:v>1367</x:v>
      </x:c>
      <x:c r="F147" s="53" t="n">
        <x:f>SUM(C147:E147)</x:f>
        <x:v>12760</x:v>
      </x:c>
      <x:c r="G147" s="33"/>
      <x:c r="H147" s="33"/>
      <x:c r="I147" s="33"/>
      <x:c r="J147" s="33"/>
      <x:c r="K147" s="33"/>
      <x:c r="L147" s="33"/>
    </x:row>
    <x:row r="148" ht="24" customHeight="1">
      <x:c r="A148" s="33"/>
      <x:c r="B148" s="44" t="str">
        <x:v>tev1:4b</x:v>
      </x:c>
      <x:c r="C148" s="53" t="n">
        <x:v>7359</x:v>
      </x:c>
      <x:c r="D148" s="53" t="n">
        <x:v>4034</x:v>
      </x:c>
      <x:c r="E148" s="53" t="n">
        <x:v>1367</x:v>
      </x:c>
      <x:c r="F148" s="53" t="n">
        <x:f>SUM(C148:E148)</x:f>
        <x:v>12760</x:v>
      </x:c>
      <x:c r="G148" s="33"/>
      <x:c r="H148" s="33"/>
      <x:c r="I148" s="33"/>
      <x:c r="J148" s="33"/>
      <x:c r="K148" s="33"/>
      <x:c r="L148" s="33"/>
    </x:row>
    <x:row r="149" ht="24" customHeight="1">
      <x:c r="A149" s="33"/>
      <x:c r="B149" s="47" t="str">
        <x:v>typesafe/jev-1.13</x:v>
      </x:c>
      <x:c r="C149" s="54" t="n">
        <x:v>7359</x:v>
      </x:c>
      <x:c r="D149" s="54" t="n">
        <x:v>4034</x:v>
      </x:c>
      <x:c r="E149" s="54" t="n">
        <x:v>1367</x:v>
      </x:c>
      <x:c r="F149" s="54" t="n">
        <x:f>SUM(C149:E149)</x:f>
        <x:v>12760</x:v>
      </x:c>
      <x:c r="G149" s="33"/>
      <x:c r="H149" s="33"/>
      <x:c r="I149" s="33"/>
      <x:c r="J149" s="33"/>
      <x:c r="K149" s="33"/>
      <x:c r="L149" s="33"/>
    </x:row>
    <x:row r="150" ht="24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</x:row>
    <x:row r="151" ht="24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</x:row>
    <x:row r="152" ht="29" customHeight="1">
      <x:c r="A152" s="33"/>
      <x:c r="B152" s="36" t="str">
        <x:v>TABLE 15.</x:v>
      </x:c>
      <x:c r="C152" s="37" t="str">
        <x:v>Emotion classification precision.</x:v>
      </x:c>
      <x:c r="D152" s="37"/>
      <x:c r="E152" s="37"/>
      <x:c r="F152" s="37"/>
      <x:c r="G152" s="37"/>
      <x:c r="H152" s="37"/>
      <x:c r="I152" s="33"/>
      <x:c r="J152" s="33"/>
      <x:c r="K152" s="33"/>
      <x:c r="L152" s="33"/>
    </x:row>
    <x:row r="153" ht="21" customHeight="1">
      <x:c r="A153" s="33"/>
      <x:c r="B153" s="38" t="str">
        <x:v>Indonesian: emotion, n = 4,403</x:v>
      </x:c>
      <x:c r="C153" s="38"/>
      <x:c r="D153" s="38"/>
      <x:c r="E153" s="38"/>
      <x:c r="F153" s="38"/>
      <x:c r="G153" s="38"/>
      <x:c r="H153" s="38"/>
      <x:c r="I153" s="33"/>
      <x:c r="J153" s="33"/>
      <x:c r="K153" s="33"/>
      <x:c r="L153" s="33"/>
    </x:row>
    <x:row r="154" ht="9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</x:row>
    <x:row r="155" ht="42" customHeight="1">
      <x:c r="A155" s="33"/>
      <x:c r="B155" s="43" t="str">
        <x:v>Model</x:v>
      </x:c>
      <x:c r="C155" s="42" t="str">
        <x:v>anger</x:v>
      </x:c>
      <x:c r="D155" s="42" t="str">
        <x:v>fear</x:v>
      </x:c>
      <x:c r="E155" s="42" t="str">
        <x:v>happy</x:v>
      </x:c>
      <x:c r="F155" s="42" t="str">
        <x:v>love</x:v>
      </x:c>
      <x:c r="G155" s="42" t="str">
        <x:v>sadness</x:v>
      </x:c>
      <x:c r="H155" s="42" t="str">
        <x:v>Macro-
Precision</x:v>
      </x:c>
      <x:c r="I155" s="33"/>
      <x:c r="J155" s="33"/>
      <x:c r="K155" s="33"/>
      <x:c r="L155" s="33"/>
    </x:row>
    <x:row r="156" ht="24" customHeight="1">
      <x:c r="A156" s="33"/>
      <x:c r="B156" s="44" t="str">
        <x:v>nimble:9b</x:v>
      </x:c>
      <x:c r="C156" s="49" t="n">
        <x:v>0.6794961511546536</x:v>
      </x:c>
      <x:c r="D156" s="49" t="n">
        <x:v>0.8226351351351351</x:v>
      </x:c>
      <x:c r="E156" s="49" t="n">
        <x:v>0.781496062992126</x:v>
      </x:c>
      <x:c r="F156" s="49" t="n">
        <x:v>0.664367816091954</x:v>
      </x:c>
      <x:c r="G156" s="51" t="n">
        <x:v>0.8225806451612904</x:v>
      </x:c>
      <x:c r="H156" s="49" t="n">
        <x:f>AVERAGE(C156:G156)</x:f>
        <x:v>0.7541151621070318</x:v>
      </x:c>
      <x:c r="I156" s="33"/>
      <x:c r="J156" s="33"/>
      <x:c r="K156" s="33"/>
      <x:c r="L156" s="33"/>
    </x:row>
    <x:row r="157" ht="24" customHeight="1">
      <x:c r="A157" s="33"/>
      <x:c r="B157" s="44" t="str">
        <x:v>tev1:0.8b</x:v>
      </x:c>
      <x:c r="C157" s="49" t="n">
        <x:v>0.4900864260294865</x:v>
      </x:c>
      <x:c r="D157" s="49" t="n">
        <x:v>0.8311345646437994</x:v>
      </x:c>
      <x:c r="E157" s="49" t="n">
        <x:v>0.7150776053215078</x:v>
      </x:c>
      <x:c r="F157" s="49" t="n">
        <x:v>0.6428571428571429</x:v>
      </x:c>
      <x:c r="G157" s="49" t="n">
        <x:v>0.6974789915966386</x:v>
      </x:c>
      <x:c r="H157" s="49" t="n">
        <x:f>AVERAGE(C157:G157)</x:f>
        <x:v>0.6753269460897149</x:v>
      </x:c>
      <x:c r="I157" s="33"/>
      <x:c r="J157" s="33"/>
      <x:c r="K157" s="33"/>
      <x:c r="L157" s="33"/>
    </x:row>
    <x:row r="158" ht="24" customHeight="1">
      <x:c r="A158" s="33"/>
      <x:c r="B158" s="44" t="str">
        <x:v>tev1:4b</x:v>
      </x:c>
      <x:c r="C158" s="49" t="n">
        <x:v>0.6494512588766946</x:v>
      </x:c>
      <x:c r="D158" s="51" t="n">
        <x:v>0.8404452690166976</x:v>
      </x:c>
      <x:c r="E158" s="49" t="n">
        <x:v>0.8189473684210526</x:v>
      </x:c>
      <x:c r="F158" s="51" t="n">
        <x:v>0.7303225806451613</x:v>
      </x:c>
      <x:c r="G158" s="49" t="n">
        <x:v>0.7491525423728813</x:v>
      </x:c>
      <x:c r="H158" s="49" t="n">
        <x:f>AVERAGE(C158:G158)</x:f>
        <x:v>0.7576638038664976</x:v>
      </x:c>
      <x:c r="I158" s="33"/>
      <x:c r="J158" s="33"/>
      <x:c r="K158" s="33"/>
      <x:c r="L158" s="33"/>
    </x:row>
    <x:row r="159" ht="24" customHeight="1">
      <x:c r="A159" s="33"/>
      <x:c r="B159" s="47" t="str">
        <x:v>typesafe/jev-1.13</x:v>
      </x:c>
      <x:c r="C159" s="50" t="n">
        <x:v>0.7494407158836689</x:v>
      </x:c>
      <x:c r="D159" s="52" t="n">
        <x:v>0.7913561847988078</x:v>
      </x:c>
      <x:c r="E159" s="50" t="n">
        <x:v>0.8581314878892734</x:v>
      </x:c>
      <x:c r="F159" s="52" t="n">
        <x:v>0.7017751479289941</x:v>
      </x:c>
      <x:c r="G159" s="52" t="n">
        <x:v>0.8203240058910162</x:v>
      </x:c>
      <x:c r="H159" s="50" t="n">
        <x:f>AVERAGE(C159:G159)</x:f>
        <x:v>0.7842055084783521</x:v>
      </x:c>
      <x:c r="I159" s="33"/>
      <x:c r="J159" s="33"/>
      <x:c r="K159" s="33"/>
      <x:c r="L159" s="33"/>
    </x:row>
    <x:row r="160" ht="24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</x:row>
    <x:row r="161" ht="24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</x:row>
    <x:row r="162" ht="29" customHeight="1">
      <x:c r="A162" s="33"/>
      <x:c r="B162" s="36" t="str">
        <x:v>TABLE 16.</x:v>
      </x:c>
      <x:c r="C162" s="37" t="str">
        <x:v>Emotion classification recall.</x:v>
      </x:c>
      <x:c r="D162" s="37"/>
      <x:c r="E162" s="37"/>
      <x:c r="F162" s="37"/>
      <x:c r="G162" s="37"/>
      <x:c r="H162" s="37"/>
      <x:c r="I162" s="33"/>
      <x:c r="J162" s="33"/>
      <x:c r="K162" s="33"/>
      <x:c r="L162" s="33"/>
    </x:row>
    <x:row r="163" ht="21" customHeight="1">
      <x:c r="A163" s="33"/>
      <x:c r="B163" s="38" t="str">
        <x:v>Indonesian: emotion, n = 4,403</x:v>
      </x:c>
      <x:c r="C163" s="38"/>
      <x:c r="D163" s="38"/>
      <x:c r="E163" s="38"/>
      <x:c r="F163" s="38"/>
      <x:c r="G163" s="38"/>
      <x:c r="H163" s="38"/>
      <x:c r="I163" s="33"/>
      <x:c r="J163" s="33"/>
      <x:c r="K163" s="33"/>
      <x:c r="L163" s="33"/>
    </x:row>
    <x:row r="164" ht="9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</x:row>
    <x:row r="165" ht="42" customHeight="1">
      <x:c r="A165" s="33"/>
      <x:c r="B165" s="43" t="str">
        <x:v>Model</x:v>
      </x:c>
      <x:c r="C165" s="42" t="str">
        <x:v>anger</x:v>
      </x:c>
      <x:c r="D165" s="42" t="str">
        <x:v>fear</x:v>
      </x:c>
      <x:c r="E165" s="42" t="str">
        <x:v>happy</x:v>
      </x:c>
      <x:c r="F165" s="42" t="str">
        <x:v>love</x:v>
      </x:c>
      <x:c r="G165" s="42" t="str">
        <x:v>sadness</x:v>
      </x:c>
      <x:c r="H165" s="42" t="str">
        <x:v>Macro-
Recall</x:v>
      </x:c>
      <x:c r="I165" s="33"/>
      <x:c r="J165" s="33"/>
      <x:c r="K165" s="33"/>
      <x:c r="L165" s="33"/>
    </x:row>
    <x:row r="166" ht="24" customHeight="1">
      <x:c r="A166" s="33"/>
      <x:c r="B166" s="44" t="str">
        <x:v>nimble:9b</x:v>
      </x:c>
      <x:c r="C166" s="49" t="n">
        <x:v>0.8811252268602541</x:v>
      </x:c>
      <x:c r="D166" s="49" t="n">
        <x:v>0.7503852080123267</x:v>
      </x:c>
      <x:c r="E166" s="51" t="n">
        <x:v>0.7807276302851525</x:v>
      </x:c>
      <x:c r="F166" s="49" t="n">
        <x:v>0.9073783359497644</x:v>
      </x:c>
      <x:c r="G166" s="49" t="n">
        <x:v>0.4088176352705411</x:v>
      </x:c>
      <x:c r="H166" s="49" t="n">
        <x:f>AVERAGE(C166:G166)</x:f>
        <x:v>0.7456868072756077</x:v>
      </x:c>
      <x:c r="I166" s="33"/>
      <x:c r="J166" s="33"/>
      <x:c r="K166" s="33"/>
      <x:c r="L166" s="33"/>
    </x:row>
    <x:row r="167" ht="24" customHeight="1">
      <x:c r="A167" s="33"/>
      <x:c r="B167" s="44" t="str">
        <x:v>tev1:0.8b</x:v>
      </x:c>
      <x:c r="C167" s="49" t="n">
        <x:v>0.8747731397459165</x:v>
      </x:c>
      <x:c r="D167" s="49" t="n">
        <x:v>0.485362095531587</x:v>
      </x:c>
      <x:c r="E167" s="49" t="n">
        <x:v>0.6342182890855457</x:v>
      </x:c>
      <x:c r="F167" s="49" t="n">
        <x:v>0.8053375196232339</x:v>
      </x:c>
      <x:c r="G167" s="49" t="n">
        <x:v>0.2494989979959919</x:v>
      </x:c>
      <x:c r="H167" s="49" t="n">
        <x:f>AVERAGE(C167:G167)</x:f>
        <x:v>0.6098380083964551</x:v>
      </x:c>
      <x:c r="I167" s="33"/>
      <x:c r="J167" s="33"/>
      <x:c r="K167" s="33"/>
      <x:c r="L167" s="33"/>
    </x:row>
    <x:row r="168" ht="24" customHeight="1">
      <x:c r="A168" s="33"/>
      <x:c r="B168" s="44" t="str">
        <x:v>tev1:4b</x:v>
      </x:c>
      <x:c r="C168" s="51" t="n">
        <x:v>0.912885662431942</x:v>
      </x:c>
      <x:c r="D168" s="49" t="n">
        <x:v>0.6979969183359014</x:v>
      </x:c>
      <x:c r="E168" s="49" t="n">
        <x:v>0.7649950835791544</x:v>
      </x:c>
      <x:c r="F168" s="49" t="n">
        <x:v>0.8885400313971743</x:v>
      </x:c>
      <x:c r="G168" s="49" t="n">
        <x:v>0.4428857715430861</x:v>
      </x:c>
      <x:c r="H168" s="49" t="n">
        <x:f>AVERAGE(C168:G168)</x:f>
        <x:v>0.7414606934574517</x:v>
      </x:c>
      <x:c r="I168" s="33"/>
      <x:c r="J168" s="33"/>
      <x:c r="K168" s="33"/>
      <x:c r="L168" s="33"/>
    </x:row>
    <x:row r="169" ht="24" customHeight="1">
      <x:c r="A169" s="33"/>
      <x:c r="B169" s="47" t="str">
        <x:v>typesafe/jev-1.13</x:v>
      </x:c>
      <x:c r="C169" s="52" t="n">
        <x:v>0.911978221415608</x:v>
      </x:c>
      <x:c r="D169" s="50" t="n">
        <x:v>0.8181818181818182</x:v>
      </x:c>
      <x:c r="E169" s="52" t="n">
        <x:v>0.7315634218289085</x:v>
      </x:c>
      <x:c r="F169" s="50" t="n">
        <x:v>0.9309262166405023</x:v>
      </x:c>
      <x:c r="G169" s="50" t="n">
        <x:v>0.5581162324649298</x:v>
      </x:c>
      <x:c r="H169" s="50" t="n">
        <x:f>AVERAGE(C169:G169)</x:f>
        <x:v>0.7901531821063534</x:v>
      </x:c>
      <x:c r="I169" s="33"/>
      <x:c r="J169" s="33"/>
      <x:c r="K169" s="33"/>
      <x:c r="L169" s="33"/>
    </x:row>
    <x:row r="170" ht="24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</x:row>
    <x:row r="171" ht="24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</x:row>
    <x:row r="172" ht="29" customHeight="1">
      <x:c r="A172" s="33"/>
      <x:c r="B172" s="36" t="str">
        <x:v>TABLE 17.</x:v>
      </x:c>
      <x:c r="C172" s="37" t="str">
        <x:v>Emotion classification F1.</x:v>
      </x:c>
      <x:c r="D172" s="37"/>
      <x:c r="E172" s="37"/>
      <x:c r="F172" s="37"/>
      <x:c r="G172" s="37"/>
      <x:c r="H172" s="37"/>
      <x:c r="I172" s="33"/>
      <x:c r="J172" s="33"/>
      <x:c r="K172" s="33"/>
      <x:c r="L172" s="33"/>
    </x:row>
    <x:row r="173" ht="21" customHeight="1">
      <x:c r="A173" s="33"/>
      <x:c r="B173" s="38" t="str">
        <x:v>Indonesian: emotion, n = 4,403</x:v>
      </x:c>
      <x:c r="C173" s="38"/>
      <x:c r="D173" s="38"/>
      <x:c r="E173" s="38"/>
      <x:c r="F173" s="38"/>
      <x:c r="G173" s="38"/>
      <x:c r="H173" s="38"/>
      <x:c r="I173" s="33"/>
      <x:c r="J173" s="33"/>
      <x:c r="K173" s="33"/>
      <x:c r="L173" s="33"/>
    </x:row>
    <x:row r="174" ht="9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</x:row>
    <x:row r="175" ht="42" customHeight="1">
      <x:c r="A175" s="33"/>
      <x:c r="B175" s="43" t="str">
        <x:v>Model</x:v>
      </x:c>
      <x:c r="C175" s="42" t="str">
        <x:v>anger</x:v>
      </x:c>
      <x:c r="D175" s="42" t="str">
        <x:v>fear</x:v>
      </x:c>
      <x:c r="E175" s="42" t="str">
        <x:v>happy</x:v>
      </x:c>
      <x:c r="F175" s="42" t="str">
        <x:v>love</x:v>
      </x:c>
      <x:c r="G175" s="42" t="str">
        <x:v>sadness</x:v>
      </x:c>
      <x:c r="H175" s="42" t="str">
        <x:v>Macro-F1</x:v>
      </x:c>
      <x:c r="I175" s="33"/>
      <x:c r="J175" s="33"/>
      <x:c r="K175" s="33"/>
      <x:c r="L175" s="33"/>
    </x:row>
    <x:row r="176" ht="24" customHeight="1">
      <x:c r="A176" s="33"/>
      <x:c r="B176" s="44" t="str">
        <x:v>nimble:9b</x:v>
      </x:c>
      <x:c r="C176" s="49" t="n">
        <x:v>0.7672856578427499</x:v>
      </x:c>
      <x:c r="D176" s="49" t="n">
        <x:v>0.7848509266720387</x:v>
      </x:c>
      <x:c r="E176" s="49" t="n">
        <x:v>0.7811116576487949</x:v>
      </x:c>
      <x:c r="F176" s="49" t="n">
        <x:v>0.7670869276708693</x:v>
      </x:c>
      <x:c r="G176" s="49" t="n">
        <x:v>0.5461847389558233</x:v>
      </x:c>
      <x:c r="H176" s="49" t="n">
        <x:f>AVERAGE(C176:G176)</x:f>
        <x:v>0.7293039817580553</x:v>
      </x:c>
      <x:c r="I176" s="33"/>
      <x:c r="J176" s="33"/>
      <x:c r="K176" s="33"/>
      <x:c r="L176" s="33"/>
    </x:row>
    <x:row r="177" ht="24" customHeight="1">
      <x:c r="A177" s="33"/>
      <x:c r="B177" s="44" t="str">
        <x:v>tev1:0.8b</x:v>
      </x:c>
      <x:c r="C177" s="49" t="n">
        <x:v>0.628217660475725</x:v>
      </x:c>
      <x:c r="D177" s="49" t="n">
        <x:v>0.6128404669260701</x:v>
      </x:c>
      <x:c r="E177" s="49" t="n">
        <x:v>0.6722251172485669</x:v>
      </x:c>
      <x:c r="F177" s="49" t="n">
        <x:v>0.7149825783972126</x:v>
      </x:c>
      <x:c r="G177" s="49" t="n">
        <x:v>0.3675276752767528</x:v>
      </x:c>
      <x:c r="H177" s="49" t="n">
        <x:f>AVERAGE(C177:G177)</x:f>
        <x:v>0.5991586996648655</x:v>
      </x:c>
      <x:c r="I177" s="33"/>
      <x:c r="J177" s="33"/>
      <x:c r="K177" s="33"/>
      <x:c r="L177" s="33"/>
    </x:row>
    <x:row r="178" ht="24" customHeight="1">
      <x:c r="A178" s="33"/>
      <x:c r="B178" s="44" t="str">
        <x:v>tev1:4b</x:v>
      </x:c>
      <x:c r="C178" s="49" t="n">
        <x:v>0.7589588834402112</x:v>
      </x:c>
      <x:c r="D178" s="49" t="n">
        <x:v>0.7626262626262627</x:v>
      </x:c>
      <x:c r="E178" s="51" t="n">
        <x:v>0.7910523640061007</x:v>
      </x:c>
      <x:c r="F178" s="51" t="n">
        <x:v>0.8016997167138811</x:v>
      </x:c>
      <x:c r="G178" s="49" t="n">
        <x:v>0.5566750629722922</x:v>
      </x:c>
      <x:c r="H178" s="49" t="n">
        <x:f>AVERAGE(C178:G178)</x:f>
        <x:v>0.7342024579517497</x:v>
      </x:c>
      <x:c r="I178" s="33"/>
      <x:c r="J178" s="33"/>
      <x:c r="K178" s="33"/>
      <x:c r="L178" s="33"/>
    </x:row>
    <x:row r="179" ht="24" customHeight="1">
      <x:c r="A179" s="33"/>
      <x:c r="B179" s="47" t="str">
        <x:v>typesafe/jev-1.13</x:v>
      </x:c>
      <x:c r="C179" s="50" t="n">
        <x:v>0.8227589029881294</x:v>
      </x:c>
      <x:c r="D179" s="50" t="n">
        <x:v>0.8045454545454546</x:v>
      </x:c>
      <x:c r="E179" s="52" t="n">
        <x:v>0.7898089171974523</x:v>
      </x:c>
      <x:c r="F179" s="52" t="n">
        <x:v>0.8002699055330634</x:v>
      </x:c>
      <x:c r="G179" s="50" t="n">
        <x:v>0.6642814549791294</x:v>
      </x:c>
      <x:c r="H179" s="50" t="n">
        <x:f>AVERAGE(C179:G179)</x:f>
        <x:v>0.7763329270486458</x:v>
      </x:c>
      <x:c r="I179" s="33"/>
      <x:c r="J179" s="33"/>
      <x:c r="K179" s="33"/>
      <x:c r="L179" s="33"/>
    </x:row>
    <x:row r="180" ht="24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</x:row>
    <x:row r="181" ht="24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</x:row>
    <x:row r="182" ht="29" customHeight="1">
      <x:c r="A182" s="33"/>
      <x:c r="B182" s="36" t="str">
        <x:v>TABLE 18.</x:v>
      </x:c>
      <x:c r="C182" s="37" t="str">
        <x:v>Emotion classification support.</x:v>
      </x:c>
      <x:c r="D182" s="37"/>
      <x:c r="E182" s="37"/>
      <x:c r="F182" s="37"/>
      <x:c r="G182" s="37"/>
      <x:c r="H182" s="37"/>
      <x:c r="I182" s="33"/>
      <x:c r="J182" s="33"/>
      <x:c r="K182" s="33"/>
      <x:c r="L182" s="33"/>
    </x:row>
    <x:row r="183" ht="21" customHeight="1">
      <x:c r="A183" s="33"/>
      <x:c r="B183" s="38" t="str">
        <x:v>Indonesian: emotion, n = 4,403</x:v>
      </x:c>
      <x:c r="C183" s="38"/>
      <x:c r="D183" s="38"/>
      <x:c r="E183" s="38"/>
      <x:c r="F183" s="38"/>
      <x:c r="G183" s="38"/>
      <x:c r="H183" s="38"/>
      <x:c r="I183" s="33"/>
      <x:c r="J183" s="33"/>
      <x:c r="K183" s="33"/>
      <x:c r="L183" s="33"/>
    </x:row>
    <x:row r="184" ht="9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</x:row>
    <x:row r="185" ht="42" customHeight="1">
      <x:c r="A185" s="33"/>
      <x:c r="B185" s="43" t="str">
        <x:v>Model</x:v>
      </x:c>
      <x:c r="C185" s="42" t="str">
        <x:v>anger</x:v>
      </x:c>
      <x:c r="D185" s="42" t="str">
        <x:v>fear</x:v>
      </x:c>
      <x:c r="E185" s="42" t="str">
        <x:v>happy</x:v>
      </x:c>
      <x:c r="F185" s="42" t="str">
        <x:v>love</x:v>
      </x:c>
      <x:c r="G185" s="42" t="str">
        <x:v>sadness</x:v>
      </x:c>
      <x:c r="H185" s="42" t="str">
        <x:v>Total</x:v>
      </x:c>
      <x:c r="I185" s="33"/>
      <x:c r="J185" s="33"/>
      <x:c r="K185" s="33"/>
      <x:c r="L185" s="33"/>
    </x:row>
    <x:row r="186" ht="24" customHeight="1">
      <x:c r="A186" s="33"/>
      <x:c r="B186" s="44" t="str">
        <x:v>nimble:9b</x:v>
      </x:c>
      <x:c r="C186" s="53" t="n">
        <x:v>1102</x:v>
      </x:c>
      <x:c r="D186" s="53" t="n">
        <x:v>649</x:v>
      </x:c>
      <x:c r="E186" s="53" t="n">
        <x:v>1017</x:v>
      </x:c>
      <x:c r="F186" s="53" t="n">
        <x:v>637</x:v>
      </x:c>
      <x:c r="G186" s="53" t="n">
        <x:v>998</x:v>
      </x:c>
      <x:c r="H186" s="53" t="n">
        <x:f>SUM(C186:G186)</x:f>
        <x:v>4403</x:v>
      </x:c>
      <x:c r="I186" s="33"/>
      <x:c r="J186" s="33"/>
      <x:c r="K186" s="33"/>
      <x:c r="L186" s="33"/>
    </x:row>
    <x:row r="187" ht="24" customHeight="1">
      <x:c r="A187" s="33"/>
      <x:c r="B187" s="44" t="str">
        <x:v>tev1:0.8b</x:v>
      </x:c>
      <x:c r="C187" s="53" t="n">
        <x:v>1102</x:v>
      </x:c>
      <x:c r="D187" s="53" t="n">
        <x:v>649</x:v>
      </x:c>
      <x:c r="E187" s="53" t="n">
        <x:v>1017</x:v>
      </x:c>
      <x:c r="F187" s="53" t="n">
        <x:v>637</x:v>
      </x:c>
      <x:c r="G187" s="53" t="n">
        <x:v>998</x:v>
      </x:c>
      <x:c r="H187" s="53" t="n">
        <x:f>SUM(C187:G187)</x:f>
        <x:v>4403</x:v>
      </x:c>
      <x:c r="I187" s="33"/>
      <x:c r="J187" s="33"/>
      <x:c r="K187" s="33"/>
      <x:c r="L187" s="33"/>
    </x:row>
    <x:row r="188" ht="24" customHeight="1">
      <x:c r="A188" s="33"/>
      <x:c r="B188" s="44" t="str">
        <x:v>tev1:4b</x:v>
      </x:c>
      <x:c r="C188" s="53" t="n">
        <x:v>1102</x:v>
      </x:c>
      <x:c r="D188" s="53" t="n">
        <x:v>649</x:v>
      </x:c>
      <x:c r="E188" s="53" t="n">
        <x:v>1017</x:v>
      </x:c>
      <x:c r="F188" s="53" t="n">
        <x:v>637</x:v>
      </x:c>
      <x:c r="G188" s="53" t="n">
        <x:v>998</x:v>
      </x:c>
      <x:c r="H188" s="53" t="n">
        <x:f>SUM(C188:G188)</x:f>
        <x:v>4403</x:v>
      </x:c>
      <x:c r="I188" s="33"/>
      <x:c r="J188" s="33"/>
      <x:c r="K188" s="33"/>
      <x:c r="L188" s="33"/>
    </x:row>
    <x:row r="189" ht="24" customHeight="1">
      <x:c r="A189" s="33"/>
      <x:c r="B189" s="47" t="str">
        <x:v>typesafe/jev-1.13</x:v>
      </x:c>
      <x:c r="C189" s="54" t="n">
        <x:v>1102</x:v>
      </x:c>
      <x:c r="D189" s="54" t="n">
        <x:v>649</x:v>
      </x:c>
      <x:c r="E189" s="54" t="n">
        <x:v>1017</x:v>
      </x:c>
      <x:c r="F189" s="54" t="n">
        <x:v>637</x:v>
      </x:c>
      <x:c r="G189" s="54" t="n">
        <x:v>998</x:v>
      </x:c>
      <x:c r="H189" s="54" t="n">
        <x:f>SUM(C189:G189)</x:f>
        <x:v>4403</x:v>
      </x:c>
      <x:c r="I189" s="33"/>
      <x:c r="J189" s="33"/>
      <x:c r="K189" s="33"/>
      <x:c r="L189" s="33"/>
    </x:row>
    <x:row r="190" ht="24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</x:row>
    <x:row r="191" ht="24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</x:row>
    <x:row r="192" ht="23" customHeight="1">
      <x:c r="A192" s="33"/>
      <x:c r="B192" s="38" t="str">
        <x:v>Macro-Precision, Macro-Recall and Macro-F1 are unweighted averages across the classes shown.</x:v>
      </x:c>
      <x:c r="C192" s="38"/>
      <x:c r="D192" s="38"/>
      <x:c r="E192" s="38"/>
      <x:c r="F192" s="38"/>
      <x:c r="G192" s="38"/>
      <x:c r="H192" s="38"/>
      <x:c r="I192" s="38"/>
      <x:c r="J192" s="33"/>
      <x:c r="K192" s="33"/>
      <x:c r="L192" s="33"/>
    </x:row>
    <x:row r="193" ht="23" customHeight="1">
      <x:c r="A193" s="33"/>
      <x:c r="B193" s="38" t="str">
        <x:v>Support is the number of true examples in each class. Total support is calculated across classes.</x:v>
      </x:c>
      <x:c r="C193" s="38"/>
      <x:c r="D193" s="38"/>
      <x:c r="E193" s="38"/>
      <x:c r="F193" s="38"/>
      <x:c r="G193" s="38"/>
      <x:c r="H193" s="38"/>
      <x:c r="I193" s="38"/>
      <x:c r="J193" s="33"/>
      <x:c r="K193" s="33"/>
      <x:c r="L193" s="33"/>
    </x:row>
    <x:row r="194" ht="23" customHeight="1">
      <x:c r="A194" s="33"/>
      <x:c r="B194" s="38" t="str">
        <x:v>Best scores are bold within each country and class; ties are included. Original class labels are retained.</x:v>
      </x:c>
      <x:c r="C194" s="38"/>
      <x:c r="D194" s="38"/>
      <x:c r="E194" s="38"/>
      <x:c r="F194" s="38"/>
      <x:c r="G194" s="38"/>
      <x:c r="H194" s="38"/>
      <x:c r="I194" s="38"/>
      <x:c r="J194" s="33"/>
      <x:c r="K194" s="33"/>
      <x:c r="L194" s="33"/>
    </x:row>
    <x:row r="195" ht="24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</x:row>
    <x:row r="196" ht="24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</x:row>
    <x:row r="197" ht="24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</x:row>
    <x:row r="198" ht="24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</x:row>
    <x:row r="199" ht="24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</x:row>
    <x:row r="200" ht="24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</x:row>
    <x:row r="201" ht="24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</x:row>
    <x:row r="202" ht="24" customHeight="1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</x:row>
    <x:row r="203" ht="24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</x:row>
    <x:row r="204" ht="24" customHeight="1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</x:row>
    <x:row r="205" ht="24" customHeight="1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</x:row>
    <x:row r="206" ht="24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</x:row>
    <x:row r="207" ht="24" customHeight="1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</x:row>
    <x:row r="208" ht="24" customHeight="1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</x:row>
    <x:row r="209" ht="24" customHeight="1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</x:row>
    <x:row r="210" ht="24" customHeight="1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</x:row>
    <x:row r="211" ht="24" customHeight="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</x:row>
    <x:row r="212" ht="24" customHeight="1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</x:row>
    <x:row r="213" ht="24" customHeight="1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</x:row>
    <x:row r="214" ht="24" customHeight="1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</x:row>
    <x:row r="215" ht="24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</x:row>
    <x:row r="216" ht="24" customHeight="1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</x:row>
    <x:row r="217" ht="24" customHeight="1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</x:row>
    <x:row r="218" ht="24" customHeight="1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</x:row>
    <x:row r="219" ht="24" customHeight="1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</x:row>
    <x:row r="220" ht="24" customHeight="1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</x:row>
    <x:row r="221" ht="24" customHeight="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</x:row>
    <x:row r="222" ht="24" customHeight="1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</x:row>
    <x:row r="223" ht="24" customHeight="1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</x:row>
    <x:row r="224" ht="24" customHeight="1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</x:row>
    <x:row r="225" ht="24" customHeight="1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</x:row>
    <x:row r="226" ht="24" customHeight="1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</x:row>
    <x:row r="227" ht="24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</x:row>
    <x:row r="228" ht="24" customHeight="1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</x:row>
    <x:row r="229" ht="24" customHeight="1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</x:row>
    <x:row r="230" ht="24" customHeight="1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</x:row>
    <x:row r="231" ht="24" customHeight="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</x:row>
    <x:row r="232" ht="24" customHeight="1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</x:row>
    <x:row r="233" ht="24" customHeight="1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</x:row>
    <x:row r="234" ht="24" customHeight="1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</x:row>
    <x:row r="235" ht="24" customHeight="1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</x:row>
    <x:row r="236" ht="24" customHeight="1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</x:row>
    <x:row r="237" ht="24" customHeight="1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</x:row>
    <x:row r="238" ht="24" customHeight="1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</x:row>
    <x:row r="239" ht="24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</x:row>
    <x:row r="240" ht="24" customHeight="1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</x:row>
    <x:row r="241" ht="24" customHeight="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</x:row>
    <x:row r="242" ht="24" customHeight="1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</x:row>
    <x:row r="243" ht="24" customHeight="1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</x:row>
    <x:row r="244" ht="24" customHeight="1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</x:row>
    <x:row r="245" ht="24" customHeight="1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</x:row>
    <x:row r="246" ht="24" customHeight="1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</x:row>
    <x:row r="247" ht="24" customHeight="1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</x:row>
    <x:row r="248" ht="24" customHeight="1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</x:row>
    <x:row r="249" ht="24" customHeight="1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</x:row>
    <x:row r="250" ht="24" customHeight="1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</x:row>
    <x:row r="251" ht="24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</x:row>
    <x:row r="252" ht="24" customHeight="1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</x:row>
    <x:row r="253" ht="24" customHeight="1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</x:row>
    <x:row r="254" ht="24" customHeight="1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</x:row>
    <x:row r="255" ht="24" customHeight="1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</x:row>
    <x:row r="256" ht="24" customHeight="1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</x:row>
    <x:row r="257" ht="24" customHeight="1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</x:row>
    <x:row r="258" ht="24" customHeight="1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</x:row>
    <x:row r="259" ht="24" customHeight="1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</x:row>
    <x:row r="260" ht="24" customHeight="1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</x:row>
    <x:row r="261" ht="24" customHeight="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</x:row>
    <x:row r="262" ht="24" customHeight="1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</x:row>
    <x:row r="263" ht="24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</x:row>
    <x:row r="264" ht="24" customHeight="1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</x:row>
    <x:row r="265" ht="24" customHeight="1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</x:row>
    <x:row r="266" ht="24" customHeight="1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</x:row>
    <x:row r="267" ht="24" customHeight="1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</x:row>
    <x:row r="268" ht="24" customHeight="1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</x:row>
    <x:row r="269" ht="24" customHeight="1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</x:row>
    <x:row r="270" ht="24" customHeight="1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</x:row>
    <x:row r="271" ht="24" customHeight="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</x:row>
    <x:row r="272" ht="24" customHeight="1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</x:row>
    <x:row r="273" ht="24" customHeight="1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</x:row>
    <x:row r="274" ht="24" customHeight="1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</x:row>
    <x:row r="275" ht="24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</x:row>
    <x:row r="276" ht="24" customHeight="1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</x:row>
    <x:row r="277" ht="24" customHeight="1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</x:row>
    <x:row r="278" ht="24" customHeight="1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</x:row>
    <x:row r="279" ht="24" customHeight="1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</x:row>
    <x:row r="280" ht="24" customHeight="1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</x:row>
    <x:row r="281" ht="24" customHeight="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</x:row>
    <x:row r="282" ht="24" customHeight="1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</x:row>
    <x:row r="283" ht="24" customHeight="1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</x:row>
    <x:row r="284" ht="24" customHeight="1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</x:row>
    <x:row r="285" ht="24" customHeight="1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</x:row>
    <x:row r="286" ht="24" customHeight="1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</x:row>
    <x:row r="287" ht="24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</x:row>
    <x:row r="288" ht="24" customHeight="1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</x:row>
    <x:row r="289" ht="24" customHeight="1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</x:row>
    <x:row r="290" ht="24" customHeight="1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</x:row>
    <x:row r="291" ht="24" customHeight="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</x:row>
    <x:row r="292" ht="24" customHeight="1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</x:row>
    <x:row r="293" ht="24" customHeight="1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</x:row>
    <x:row r="294" ht="24" customHeight="1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</x:row>
    <x:row r="295" ht="24" customHeight="1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</x:row>
    <x:row r="296" ht="24" customHeight="1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</x:row>
    <x:row r="297" ht="24" customHeight="1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</x:row>
    <x:row r="298" ht="24" customHeight="1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</x:row>
    <x:row r="299" ht="24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</x:row>
    <x:row r="300" ht="24" customHeight="1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</x:row>
  </x:sheetData>
  <x:mergeCells>
    <x:mergeCell ref="C2:F2"/>
    <x:mergeCell ref="B3:F3"/>
    <x:mergeCell ref="C12:F12"/>
    <x:mergeCell ref="B13:F13"/>
    <x:mergeCell ref="C22:F22"/>
    <x:mergeCell ref="B23:F23"/>
    <x:mergeCell ref="C32:F32"/>
    <x:mergeCell ref="B33:F33"/>
    <x:mergeCell ref="C42:G42"/>
    <x:mergeCell ref="B43:G43"/>
    <x:mergeCell ref="C52:G52"/>
    <x:mergeCell ref="B53:G53"/>
    <x:mergeCell ref="C62:E62"/>
    <x:mergeCell ref="B63:E63"/>
    <x:mergeCell ref="C72:E72"/>
    <x:mergeCell ref="B73:E73"/>
    <x:mergeCell ref="C82:H82"/>
    <x:mergeCell ref="B83:H83"/>
    <x:mergeCell ref="C92:H92"/>
    <x:mergeCell ref="B93:H93"/>
    <x:mergeCell ref="B102:H102"/>
    <x:mergeCell ref="B103:H103"/>
    <x:mergeCell ref="B104:H104"/>
    <x:mergeCell ref="B105:H105"/>
    <x:mergeCell ref="B106:H106"/>
    <x:mergeCell ref="B107:H107"/>
    <x:mergeCell ref="C112:F112"/>
    <x:mergeCell ref="B113:F113"/>
    <x:mergeCell ref="C122:F122"/>
    <x:mergeCell ref="B123:F123"/>
    <x:mergeCell ref="C132:F132"/>
    <x:mergeCell ref="B133:F133"/>
    <x:mergeCell ref="C142:F142"/>
    <x:mergeCell ref="B143:F143"/>
    <x:mergeCell ref="C152:H152"/>
    <x:mergeCell ref="B153:H153"/>
    <x:mergeCell ref="C162:H162"/>
    <x:mergeCell ref="B163:H163"/>
    <x:mergeCell ref="C172:H172"/>
    <x:mergeCell ref="B173:H173"/>
    <x:mergeCell ref="C182:H182"/>
    <x:mergeCell ref="B183:H183"/>
    <x:mergeCell ref="B192:I192"/>
    <x:mergeCell ref="B193:I193"/>
    <x:mergeCell ref="B194:I194"/>
  </x:mergeCells>
  <x:conditionalFormatting sqref="C6:C9">
    <x:cfRule type="expression" dxfId="44" priority="1">
      <x:formula>C6=MAX(C$6:C$9)</x:formula>
    </x:cfRule>
    <x:cfRule type="expression" dxfId="45" priority="2">
      <x:formula>C6&lt;&gt;MAX(C$6:C$9)</x:formula>
    </x:cfRule>
  </x:conditionalFormatting>
  <x:conditionalFormatting sqref="D6:D9">
    <x:cfRule type="expression" dxfId="46" priority="3">
      <x:formula>D6=MAX(D$6:D$9)</x:formula>
    </x:cfRule>
    <x:cfRule type="expression" dxfId="47" priority="4">
      <x:formula>D6&lt;&gt;MAX(D$6:D$9)</x:formula>
    </x:cfRule>
  </x:conditionalFormatting>
  <x:conditionalFormatting sqref="E6:E9">
    <x:cfRule type="expression" dxfId="48" priority="5">
      <x:formula>E6=MAX(E$6:E$9)</x:formula>
    </x:cfRule>
    <x:cfRule type="expression" dxfId="49" priority="6">
      <x:formula>E6&lt;&gt;MAX(E$6:E$9)</x:formula>
    </x:cfRule>
  </x:conditionalFormatting>
  <x:conditionalFormatting sqref="F6:F9">
    <x:cfRule type="expression" dxfId="50" priority="7">
      <x:formula>F6=MAX(F$6:F$9)</x:formula>
    </x:cfRule>
    <x:cfRule type="expression" dxfId="51" priority="8">
      <x:formula>F6&lt;&gt;MAX(F$6:F$9)</x:formula>
    </x:cfRule>
  </x:conditionalFormatting>
  <x:conditionalFormatting sqref="C16:C19">
    <x:cfRule type="expression" dxfId="52" priority="9">
      <x:formula>C16=MAX(C$16:C$19)</x:formula>
    </x:cfRule>
    <x:cfRule type="expression" dxfId="53" priority="10">
      <x:formula>C16&lt;&gt;MAX(C$16:C$19)</x:formula>
    </x:cfRule>
  </x:conditionalFormatting>
  <x:conditionalFormatting sqref="D16:D19">
    <x:cfRule type="expression" dxfId="54" priority="11">
      <x:formula>D16=MAX(D$16:D$19)</x:formula>
    </x:cfRule>
    <x:cfRule type="expression" dxfId="55" priority="12">
      <x:formula>D16&lt;&gt;MAX(D$16:D$19)</x:formula>
    </x:cfRule>
  </x:conditionalFormatting>
  <x:conditionalFormatting sqref="E16:E19">
    <x:cfRule type="expression" dxfId="56" priority="13">
      <x:formula>E16=MAX(E$16:E$19)</x:formula>
    </x:cfRule>
    <x:cfRule type="expression" dxfId="57" priority="14">
      <x:formula>E16&lt;&gt;MAX(E$16:E$19)</x:formula>
    </x:cfRule>
  </x:conditionalFormatting>
  <x:conditionalFormatting sqref="F16:F19">
    <x:cfRule type="expression" dxfId="58" priority="15">
      <x:formula>F16=MAX(F$16:F$19)</x:formula>
    </x:cfRule>
    <x:cfRule type="expression" dxfId="59" priority="16">
      <x:formula>F16&lt;&gt;MAX(F$16:F$19)</x:formula>
    </x:cfRule>
  </x:conditionalFormatting>
  <x:conditionalFormatting sqref="C46:C49">
    <x:cfRule type="expression" dxfId="60" priority="17">
      <x:formula>C46=MIN(C$46:C$49)</x:formula>
    </x:cfRule>
    <x:cfRule type="expression" dxfId="61" priority="18">
      <x:formula>C46&lt;&gt;MIN(C$46:C$49)</x:formula>
    </x:cfRule>
  </x:conditionalFormatting>
  <x:conditionalFormatting sqref="D46:D49">
    <x:cfRule type="expression" dxfId="62" priority="19">
      <x:formula>D46=MIN(D$46:D$49)</x:formula>
    </x:cfRule>
    <x:cfRule type="expression" dxfId="63" priority="20">
      <x:formula>D46&lt;&gt;MIN(D$46:D$49)</x:formula>
    </x:cfRule>
  </x:conditionalFormatting>
  <x:conditionalFormatting sqref="E46:E49">
    <x:cfRule type="expression" dxfId="64" priority="21">
      <x:formula>E46=MIN(E$46:E$49)</x:formula>
    </x:cfRule>
    <x:cfRule type="expression" dxfId="65" priority="22">
      <x:formula>E46&lt;&gt;MIN(E$46:E$49)</x:formula>
    </x:cfRule>
  </x:conditionalFormatting>
  <x:conditionalFormatting sqref="F46:F49">
    <x:cfRule type="expression" dxfId="66" priority="23">
      <x:formula>F46=MAX(F$46:F$49)</x:formula>
    </x:cfRule>
    <x:cfRule type="expression" dxfId="67" priority="24">
      <x:formula>F46&lt;&gt;MAX(F$46:F$49)</x:formula>
    </x:cfRule>
  </x:conditionalFormatting>
  <x:conditionalFormatting sqref="C56:C59">
    <x:cfRule type="expression" dxfId="68" priority="25">
      <x:formula>C56=MIN(C$56:C$59)</x:formula>
    </x:cfRule>
    <x:cfRule type="expression" dxfId="69" priority="26">
      <x:formula>C56&lt;&gt;MIN(C$56:C$59)</x:formula>
    </x:cfRule>
  </x:conditionalFormatting>
  <x:conditionalFormatting sqref="D56:D59">
    <x:cfRule type="expression" dxfId="70" priority="27">
      <x:formula>D56=MIN(D$56:D$59)</x:formula>
    </x:cfRule>
    <x:cfRule type="expression" dxfId="71" priority="28">
      <x:formula>D56&lt;&gt;MIN(D$56:D$59)</x:formula>
    </x:cfRule>
  </x:conditionalFormatting>
  <x:conditionalFormatting sqref="E56:E59">
    <x:cfRule type="expression" dxfId="72" priority="29">
      <x:formula>E56=MIN(E$56:E$59)</x:formula>
    </x:cfRule>
    <x:cfRule type="expression" dxfId="73" priority="30">
      <x:formula>E56&lt;&gt;MIN(E$56:E$59)</x:formula>
    </x:cfRule>
  </x:conditionalFormatting>
  <x:conditionalFormatting sqref="F56:F59">
    <x:cfRule type="expression" dxfId="74" priority="31">
      <x:formula>F56=MAX(F$56:F$59)</x:formula>
    </x:cfRule>
    <x:cfRule type="expression" dxfId="75" priority="32">
      <x:formula>F56&lt;&gt;MAX(F$56:F$59)</x:formula>
    </x:cfRule>
  </x:conditionalFormatting>
  <x:conditionalFormatting sqref="C66:C69">
    <x:cfRule type="expression" dxfId="76" priority="33">
      <x:formula>C66=MIN(C$66:C$69)</x:formula>
    </x:cfRule>
    <x:cfRule type="expression" dxfId="77" priority="34">
      <x:formula>C66&lt;&gt;MIN(C$66:C$69)</x:formula>
    </x:cfRule>
  </x:conditionalFormatting>
  <x:conditionalFormatting sqref="D66:D69">
    <x:cfRule type="expression" dxfId="78" priority="35">
      <x:formula>D66=MIN(D$66:D$69)</x:formula>
    </x:cfRule>
    <x:cfRule type="expression" dxfId="79" priority="36">
      <x:formula>D66&lt;&gt;MIN(D$66:D$69)</x:formula>
    </x:cfRule>
  </x:conditionalFormatting>
  <x:conditionalFormatting sqref="E66:E69">
    <x:cfRule type="expression" dxfId="80" priority="37">
      <x:formula>E66=MIN(E$66:E$69)</x:formula>
    </x:cfRule>
    <x:cfRule type="expression" dxfId="81" priority="38">
      <x:formula>E66&lt;&gt;MIN(E$66:E$69)</x:formula>
    </x:cfRule>
  </x:conditionalFormatting>
  <x:conditionalFormatting sqref="C76:C79">
    <x:cfRule type="expression" dxfId="82" priority="39">
      <x:formula>C76=MIN(C$76:C$79)</x:formula>
    </x:cfRule>
    <x:cfRule type="expression" dxfId="83" priority="40">
      <x:formula>C76&lt;&gt;MIN(C$76:C$79)</x:formula>
    </x:cfRule>
  </x:conditionalFormatting>
  <x:conditionalFormatting sqref="D76:D79">
    <x:cfRule type="expression" dxfId="84" priority="41">
      <x:formula>D76=MIN(D$76:D$79)</x:formula>
    </x:cfRule>
    <x:cfRule type="expression" dxfId="85" priority="42">
      <x:formula>D76&lt;&gt;MIN(D$76:D$79)</x:formula>
    </x:cfRule>
  </x:conditionalFormatting>
  <x:conditionalFormatting sqref="E76:E79">
    <x:cfRule type="expression" dxfId="86" priority="43">
      <x:formula>E76=MIN(E$76:E$79)</x:formula>
    </x:cfRule>
    <x:cfRule type="expression" dxfId="87" priority="44">
      <x:formula>E76&lt;&gt;MIN(E$76:E$79)</x:formula>
    </x:cfRule>
  </x:conditionalFormatting>
  <x:conditionalFormatting sqref="C116:C119">
    <x:cfRule type="expression" dxfId="254" priority="45">
      <x:formula>C116=MAX(C$116:C$119)</x:formula>
    </x:cfRule>
    <x:cfRule type="expression" dxfId="255" priority="46">
      <x:formula>C116&lt;&gt;MAX(C$116:C$119)</x:formula>
    </x:cfRule>
  </x:conditionalFormatting>
  <x:conditionalFormatting sqref="D116:D119">
    <x:cfRule type="expression" dxfId="256" priority="47">
      <x:formula>D116=MAX(D$116:D$119)</x:formula>
    </x:cfRule>
    <x:cfRule type="expression" dxfId="257" priority="48">
      <x:formula>D116&lt;&gt;MAX(D$116:D$119)</x:formula>
    </x:cfRule>
  </x:conditionalFormatting>
  <x:conditionalFormatting sqref="E116:E119">
    <x:cfRule type="expression" dxfId="258" priority="49">
      <x:formula>E116=MAX(E$116:E$119)</x:formula>
    </x:cfRule>
    <x:cfRule type="expression" dxfId="259" priority="50">
      <x:formula>E116&lt;&gt;MAX(E$116:E$119)</x:formula>
    </x:cfRule>
  </x:conditionalFormatting>
  <x:conditionalFormatting sqref="F116:F119">
    <x:cfRule type="expression" dxfId="260" priority="51">
      <x:formula>F116=MAX(F$116:F$119)</x:formula>
    </x:cfRule>
    <x:cfRule type="expression" dxfId="261" priority="52">
      <x:formula>F116&lt;&gt;MAX(F$116:F$119)</x:formula>
    </x:cfRule>
  </x:conditionalFormatting>
  <x:conditionalFormatting sqref="C126:C129">
    <x:cfRule type="expression" dxfId="262" priority="53">
      <x:formula>C126=MAX(C$126:C$129)</x:formula>
    </x:cfRule>
    <x:cfRule type="expression" dxfId="263" priority="54">
      <x:formula>C126&lt;&gt;MAX(C$126:C$129)</x:formula>
    </x:cfRule>
  </x:conditionalFormatting>
  <x:conditionalFormatting sqref="D126:D129">
    <x:cfRule type="expression" dxfId="264" priority="55">
      <x:formula>D126=MAX(D$126:D$129)</x:formula>
    </x:cfRule>
    <x:cfRule type="expression" dxfId="265" priority="56">
      <x:formula>D126&lt;&gt;MAX(D$126:D$129)</x:formula>
    </x:cfRule>
  </x:conditionalFormatting>
  <x:conditionalFormatting sqref="E126:E129">
    <x:cfRule type="expression" dxfId="266" priority="57">
      <x:formula>E126=MAX(E$126:E$129)</x:formula>
    </x:cfRule>
    <x:cfRule type="expression" dxfId="267" priority="58">
      <x:formula>E126&lt;&gt;MAX(E$126:E$129)</x:formula>
    </x:cfRule>
  </x:conditionalFormatting>
  <x:conditionalFormatting sqref="F126:F129">
    <x:cfRule type="expression" dxfId="268" priority="59">
      <x:formula>F126=MAX(F$126:F$129)</x:formula>
    </x:cfRule>
    <x:cfRule type="expression" dxfId="269" priority="60">
      <x:formula>F126&lt;&gt;MAX(F$126:F$129)</x:formula>
    </x:cfRule>
  </x:conditionalFormatting>
  <x:conditionalFormatting sqref="C136:C139">
    <x:cfRule type="expression" dxfId="270" priority="61">
      <x:formula>C136=MAX(C$136:C$139)</x:formula>
    </x:cfRule>
    <x:cfRule type="expression" dxfId="271" priority="62">
      <x:formula>C136&lt;&gt;MAX(C$136:C$139)</x:formula>
    </x:cfRule>
  </x:conditionalFormatting>
  <x:conditionalFormatting sqref="D136:D139">
    <x:cfRule type="expression" dxfId="272" priority="63">
      <x:formula>D136=MAX(D$136:D$139)</x:formula>
    </x:cfRule>
    <x:cfRule type="expression" dxfId="273" priority="64">
      <x:formula>D136&lt;&gt;MAX(D$136:D$139)</x:formula>
    </x:cfRule>
  </x:conditionalFormatting>
  <x:conditionalFormatting sqref="E136:E139">
    <x:cfRule type="expression" dxfId="274" priority="65">
      <x:formula>E136=MAX(E$136:E$139)</x:formula>
    </x:cfRule>
    <x:cfRule type="expression" dxfId="275" priority="66">
      <x:formula>E136&lt;&gt;MAX(E$136:E$139)</x:formula>
    </x:cfRule>
  </x:conditionalFormatting>
  <x:conditionalFormatting sqref="F136:F139">
    <x:cfRule type="expression" dxfId="276" priority="67">
      <x:formula>F136=MAX(F$136:F$139)</x:formula>
    </x:cfRule>
    <x:cfRule type="expression" dxfId="277" priority="68">
      <x:formula>F136&lt;&gt;MAX(F$136:F$139)</x:formula>
    </x:cfRule>
  </x:conditionalFormatting>
  <x:conditionalFormatting sqref="C156:C159">
    <x:cfRule type="expression" dxfId="278" priority="69">
      <x:formula>C156=MAX(C$156:C$159)</x:formula>
    </x:cfRule>
    <x:cfRule type="expression" dxfId="279" priority="70">
      <x:formula>C156&lt;&gt;MAX(C$156:C$159)</x:formula>
    </x:cfRule>
  </x:conditionalFormatting>
  <x:conditionalFormatting sqref="D156:D159">
    <x:cfRule type="expression" dxfId="280" priority="71">
      <x:formula>D156=MAX(D$156:D$159)</x:formula>
    </x:cfRule>
    <x:cfRule type="expression" dxfId="281" priority="72">
      <x:formula>D156&lt;&gt;MAX(D$156:D$159)</x:formula>
    </x:cfRule>
  </x:conditionalFormatting>
  <x:conditionalFormatting sqref="E156:E159">
    <x:cfRule type="expression" dxfId="282" priority="73">
      <x:formula>E156=MAX(E$156:E$159)</x:formula>
    </x:cfRule>
    <x:cfRule type="expression" dxfId="283" priority="74">
      <x:formula>E156&lt;&gt;MAX(E$156:E$159)</x:formula>
    </x:cfRule>
  </x:conditionalFormatting>
  <x:conditionalFormatting sqref="F156:F159">
    <x:cfRule type="expression" dxfId="284" priority="75">
      <x:formula>F156=MAX(F$156:F$159)</x:formula>
    </x:cfRule>
    <x:cfRule type="expression" dxfId="285" priority="76">
      <x:formula>F156&lt;&gt;MAX(F$156:F$159)</x:formula>
    </x:cfRule>
  </x:conditionalFormatting>
  <x:conditionalFormatting sqref="G156:G159">
    <x:cfRule type="expression" dxfId="286" priority="77">
      <x:formula>G156=MAX(G$156:G$159)</x:formula>
    </x:cfRule>
    <x:cfRule type="expression" dxfId="287" priority="78">
      <x:formula>G156&lt;&gt;MAX(G$156:G$159)</x:formula>
    </x:cfRule>
  </x:conditionalFormatting>
  <x:conditionalFormatting sqref="H156:H159">
    <x:cfRule type="expression" dxfId="288" priority="79">
      <x:formula>H156=MAX(H$156:H$159)</x:formula>
    </x:cfRule>
    <x:cfRule type="expression" dxfId="289" priority="80">
      <x:formula>H156&lt;&gt;MAX(H$156:H$159)</x:formula>
    </x:cfRule>
  </x:conditionalFormatting>
  <x:conditionalFormatting sqref="C166:C169">
    <x:cfRule type="expression" dxfId="290" priority="81">
      <x:formula>C166=MAX(C$166:C$169)</x:formula>
    </x:cfRule>
    <x:cfRule type="expression" dxfId="291" priority="82">
      <x:formula>C166&lt;&gt;MAX(C$166:C$169)</x:formula>
    </x:cfRule>
  </x:conditionalFormatting>
  <x:conditionalFormatting sqref="D166:D169">
    <x:cfRule type="expression" dxfId="292" priority="83">
      <x:formula>D166=MAX(D$166:D$169)</x:formula>
    </x:cfRule>
    <x:cfRule type="expression" dxfId="293" priority="84">
      <x:formula>D166&lt;&gt;MAX(D$166:D$169)</x:formula>
    </x:cfRule>
  </x:conditionalFormatting>
  <x:conditionalFormatting sqref="E166:E169">
    <x:cfRule type="expression" dxfId="294" priority="85">
      <x:formula>E166=MAX(E$166:E$169)</x:formula>
    </x:cfRule>
    <x:cfRule type="expression" dxfId="295" priority="86">
      <x:formula>E166&lt;&gt;MAX(E$166:E$169)</x:formula>
    </x:cfRule>
  </x:conditionalFormatting>
  <x:conditionalFormatting sqref="F166:F169">
    <x:cfRule type="expression" dxfId="296" priority="87">
      <x:formula>F166=MAX(F$166:F$169)</x:formula>
    </x:cfRule>
    <x:cfRule type="expression" dxfId="297" priority="88">
      <x:formula>F166&lt;&gt;MAX(F$166:F$169)</x:formula>
    </x:cfRule>
  </x:conditionalFormatting>
  <x:conditionalFormatting sqref="G166:G169">
    <x:cfRule type="expression" dxfId="298" priority="89">
      <x:formula>G166=MAX(G$166:G$169)</x:formula>
    </x:cfRule>
    <x:cfRule type="expression" dxfId="299" priority="90">
      <x:formula>G166&lt;&gt;MAX(G$166:G$169)</x:formula>
    </x:cfRule>
  </x:conditionalFormatting>
  <x:conditionalFormatting sqref="H166:H169">
    <x:cfRule type="expression" dxfId="300" priority="91">
      <x:formula>H166=MAX(H$166:H$169)</x:formula>
    </x:cfRule>
    <x:cfRule type="expression" dxfId="301" priority="92">
      <x:formula>H166&lt;&gt;MAX(H$166:H$169)</x:formula>
    </x:cfRule>
  </x:conditionalFormatting>
  <x:conditionalFormatting sqref="C176:C179">
    <x:cfRule type="expression" dxfId="302" priority="93">
      <x:formula>C176=MAX(C$176:C$179)</x:formula>
    </x:cfRule>
    <x:cfRule type="expression" dxfId="303" priority="94">
      <x:formula>C176&lt;&gt;MAX(C$176:C$179)</x:formula>
    </x:cfRule>
  </x:conditionalFormatting>
  <x:conditionalFormatting sqref="D176:D179">
    <x:cfRule type="expression" dxfId="304" priority="95">
      <x:formula>D176=MAX(D$176:D$179)</x:formula>
    </x:cfRule>
    <x:cfRule type="expression" dxfId="305" priority="96">
      <x:formula>D176&lt;&gt;MAX(D$176:D$179)</x:formula>
    </x:cfRule>
  </x:conditionalFormatting>
  <x:conditionalFormatting sqref="E176:E179">
    <x:cfRule type="expression" dxfId="306" priority="97">
      <x:formula>E176=MAX(E$176:E$179)</x:formula>
    </x:cfRule>
    <x:cfRule type="expression" dxfId="307" priority="98">
      <x:formula>E176&lt;&gt;MAX(E$176:E$179)</x:formula>
    </x:cfRule>
  </x:conditionalFormatting>
  <x:conditionalFormatting sqref="F176:F179">
    <x:cfRule type="expression" dxfId="308" priority="99">
      <x:formula>F176=MAX(F$176:F$179)</x:formula>
    </x:cfRule>
    <x:cfRule type="expression" dxfId="309" priority="100">
      <x:formula>F176&lt;&gt;MAX(F$176:F$179)</x:formula>
    </x:cfRule>
  </x:conditionalFormatting>
  <x:conditionalFormatting sqref="G176:G179">
    <x:cfRule type="expression" dxfId="310" priority="101">
      <x:formula>G176=MAX(G$176:G$179)</x:formula>
    </x:cfRule>
    <x:cfRule type="expression" dxfId="311" priority="102">
      <x:formula>G176&lt;&gt;MAX(G$176:G$179)</x:formula>
    </x:cfRule>
  </x:conditionalFormatting>
  <x:conditionalFormatting sqref="H176:H179">
    <x:cfRule type="expression" dxfId="312" priority="103">
      <x:formula>H176=MAX(H$176:H$179)</x:formula>
    </x:cfRule>
    <x:cfRule type="expression" dxfId="313" priority="104">
      <x:formula>H176&lt;&gt;MAX(H$176:H$179)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435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.5" hidden="0" customWidth="1"/>
    <x:col min="2" max="2" width="16.5" hidden="0" customWidth="1"/>
    <x:col min="3" max="3" width="31.25" hidden="0" customWidth="1"/>
    <x:col min="4" max="4" width="18.5" hidden="0" customWidth="1"/>
    <x:col min="5" max="5" width="18.5" hidden="0" customWidth="1"/>
    <x:col min="6" max="6" width="18.5" hidden="0" customWidth="1"/>
    <x:col min="7" max="7" width="18.5" hidden="0" customWidth="1"/>
    <x:col min="8" max="8" width="18.5" hidden="0" customWidth="1"/>
    <x:col min="9" max="9" width="18.5" hidden="0" customWidth="1"/>
    <x:col min="10" max="10" width="18.5" hidden="0" customWidth="1"/>
    <x:col min="11" max="11" width="18.5" hidden="0" customWidth="1"/>
    <x:col min="12" max="12" width="18.5" hidden="0" customWidth="1"/>
  </x:cols>
  <x:sheetData>
    <x:row r="1" ht="24" customHeight="1">
      <x:c r="A1" s="67"/>
      <x:c r="B1" s="67"/>
      <x:c r="C1" s="67"/>
      <x:c r="D1" s="67"/>
      <x:c r="E1" s="67"/>
      <x:c r="F1" s="67"/>
      <x:c r="G1" s="67"/>
      <x:c r="H1" s="67"/>
      <x:c r="I1" s="67"/>
      <x:c r="J1" s="67"/>
      <x:c r="K1"/>
      <x:c r="L1"/>
    </x:row>
    <x:row r="2" ht="29" customHeight="1">
      <x:c r="A2" s="67"/>
      <x:c r="B2" s="72" t="str">
        <x:v>TABLE 1.</x:v>
      </x:c>
      <x:c r="C2" s="77" t="str">
        <x:v>Sentiment classification performance.</x:v>
      </x:c>
      <x:c r="D2"/>
      <x:c r="E2"/>
      <x:c r="F2"/>
      <x:c r="G2"/>
      <x:c r="H2" s="67"/>
      <x:c r="I2" s="67"/>
      <x:c r="J2" s="67"/>
      <x:c r="K2"/>
      <x:c r="L2"/>
    </x:row>
    <x:row r="3" ht="36" customHeight="1">
      <x:c r="A3" s="67"/>
      <x:c r="B3" s="163" t="str">
        <x:v>Türkiye: sentiment_tr, n = 12,760; Indonesian: sentiment, n = 12,760; Bengali: sentiment_bn, n = 12,760</x:v>
      </x:c>
      <x:c r="C3" s="61"/>
      <x:c r="D3" s="61"/>
      <x:c r="E3" s="61"/>
      <x:c r="F3" s="61"/>
      <x:c r="G3" s="61"/>
      <x:c r="H3" s="67"/>
      <x:c r="I3" s="67"/>
      <x:c r="J3" s="67"/>
      <x:c r="K3"/>
      <x:c r="L3"/>
    </x:row>
    <x:row r="4" ht="9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/>
      <x:c r="L4"/>
    </x:row>
    <x:row r="5" ht="42" customHeight="1">
      <x:c r="A5" s="67"/>
      <x:c r="B5" s="88" t="str">
        <x:v>Country</x:v>
      </x:c>
      <x:c r="C5" s="88" t="str">
        <x:v>Model</x:v>
      </x:c>
      <x:c r="D5" s="90" t="str">
        <x:v>Accuracy</x:v>
      </x:c>
      <x:c r="E5" s="90" t="str">
        <x:v>Balanced
Accuracy</x:v>
      </x:c>
      <x:c r="F5" s="90" t="str">
        <x:v>Macro-F1</x:v>
      </x:c>
      <x:c r="G5" s="90" t="str">
        <x:v>Weighted-F1</x:v>
      </x:c>
      <x:c r="H5" s="67"/>
      <x:c r="I5" s="67"/>
      <x:c r="J5" s="67"/>
      <x:c r="K5"/>
      <x:c r="L5"/>
    </x:row>
    <x:row r="6" ht="24" customHeight="1">
      <x:c r="A6" s="67"/>
      <x:c r="B6" s="92" t="str">
        <x:v>Türkiye</x:v>
      </x:c>
      <x:c r="C6" s="92" t="str">
        <x:v>nimble:9b</x:v>
      </x:c>
      <x:c r="D6" s="97" t="n">
        <x:f>'Turkiye'!C6</x:f>
        <x:v>0.7760971786833856</x:v>
      </x:c>
      <x:c r="E6" s="97" t="n">
        <x:f>'Turkiye'!D6</x:f>
        <x:v>0.6420444889721574</x:v>
      </x:c>
      <x:c r="F6" s="97" t="n">
        <x:f>'Turkiye'!E6</x:f>
        <x:v>0.6255952736069749</x:v>
      </x:c>
      <x:c r="G6" s="97" t="n">
        <x:f>'Turkiye'!F6</x:f>
        <x:v>0.74384902834354</x:v>
      </x:c>
      <x:c r="H6" s="67"/>
      <x:c r="I6" s="67"/>
      <x:c r="J6" s="67"/>
      <x:c r="K6"/>
      <x:c r="L6"/>
    </x:row>
    <x:row r="7" ht="24" customHeight="1">
      <x:c r="A7" s="67"/>
      <x:c r="B7" s="92" t="str">
        <x:v>Türkiye</x:v>
      </x:c>
      <x:c r="C7" s="92" t="str">
        <x:v>tev1:0.8b</x:v>
      </x:c>
      <x:c r="D7" s="97" t="n">
        <x:f>'Turkiye'!C7</x:f>
        <x:v>0.7296238244514106</x:v>
      </x:c>
      <x:c r="E7" s="97" t="n">
        <x:f>'Turkiye'!D7</x:f>
        <x:v>0.6270613295451795</x:v>
      </x:c>
      <x:c r="F7" s="97" t="n">
        <x:f>'Turkiye'!E7</x:f>
        <x:v>0.6082490422699799</x:v>
      </x:c>
      <x:c r="G7" s="97" t="n">
        <x:f>'Turkiye'!F7</x:f>
        <x:v>0.717198483896461</x:v>
      </x:c>
      <x:c r="H7" s="67"/>
      <x:c r="I7" s="67"/>
      <x:c r="J7" s="67"/>
      <x:c r="K7"/>
      <x:c r="L7"/>
    </x:row>
    <x:row r="8" ht="24" customHeight="1">
      <x:c r="A8" s="67"/>
      <x:c r="B8" s="92" t="str">
        <x:v>Türkiye</x:v>
      </x:c>
      <x:c r="C8" s="92" t="str">
        <x:v>tev1:4b</x:v>
      </x:c>
      <x:c r="D8" s="102" t="n">
        <x:f>'Turkiye'!C8</x:f>
        <x:v>0.7877742946708464</x:v>
      </x:c>
      <x:c r="E8" s="102" t="n">
        <x:f>'Turkiye'!D8</x:f>
        <x:v>0.6737569254042018</x:v>
      </x:c>
      <x:c r="F8" s="102" t="n">
        <x:f>'Turkiye'!E8</x:f>
        <x:v>0.6752599831550202</x:v>
      </x:c>
      <x:c r="G8" s="102" t="n">
        <x:f>'Turkiye'!F8</x:f>
        <x:v>0.7720257413553878</x:v>
      </x:c>
      <x:c r="H8" s="67"/>
      <x:c r="I8" s="67"/>
      <x:c r="J8" s="67"/>
      <x:c r="K8"/>
      <x:c r="L8"/>
    </x:row>
    <x:row r="9" ht="24" customHeight="1">
      <x:c r="A9" s="67"/>
      <x:c r="B9" s="92" t="str">
        <x:v>Türkiye</x:v>
      </x:c>
      <x:c r="C9" s="92" t="str">
        <x:v>typesafe/jev-1.13</x:v>
      </x:c>
      <x:c r="D9" s="97" t="n">
        <x:f>'Turkiye'!C9</x:f>
        <x:v>0.7746865203761756</x:v>
      </x:c>
      <x:c r="E9" s="97" t="n">
        <x:f>'Turkiye'!D9</x:f>
        <x:v>0.6486062757709893</x:v>
      </x:c>
      <x:c r="F9" s="97" t="n">
        <x:f>'Turkiye'!E9</x:f>
        <x:v>0.6120573235331662</x:v>
      </x:c>
      <x:c r="G9" s="97" t="n">
        <x:f>'Turkiye'!F9</x:f>
        <x:v>0.7427881772282183</x:v>
      </x:c>
      <x:c r="H9" s="67"/>
      <x:c r="I9" s="67"/>
      <x:c r="J9" s="67"/>
      <x:c r="K9"/>
      <x:c r="L9"/>
    </x:row>
    <x:row r="10" ht="24" customHeight="1">
      <x:c r="A10" s="67"/>
      <x:c r="B10" s="140" t="str">
        <x:v>Indonesian</x:v>
      </x:c>
      <x:c r="C10" s="140" t="str">
        <x:v>nimble:9b</x:v>
      </x:c>
      <x:c r="D10" s="144" t="n">
        <x:f>'Indonesian'!C6</x:f>
        <x:v>0.8871473354231975</x:v>
      </x:c>
      <x:c r="E10" s="144" t="n">
        <x:f>'Indonesian'!D6</x:f>
        <x:v>0.8076030899326468</x:v>
      </x:c>
      <x:c r="F10" s="144" t="n">
        <x:f>'Indonesian'!E6</x:f>
        <x:v>0.8157296719161945</x:v>
      </x:c>
      <x:c r="G10" s="144" t="n">
        <x:f>'Indonesian'!F6</x:f>
        <x:v>0.885061270975692</x:v>
      </x:c>
      <x:c r="H10" s="67"/>
      <x:c r="I10" s="67"/>
      <x:c r="J10" s="67"/>
      <x:c r="K10"/>
      <x:c r="L10"/>
    </x:row>
    <x:row r="11" ht="24" customHeight="1">
      <x:c r="A11" s="67"/>
      <x:c r="B11" s="92" t="str">
        <x:v>Indonesian</x:v>
      </x:c>
      <x:c r="C11" s="92" t="str">
        <x:v>tev1:0.8b</x:v>
      </x:c>
      <x:c r="D11" s="97" t="n">
        <x:f>'Indonesian'!C7</x:f>
        <x:v>0.7920846394984326</x:v>
      </x:c>
      <x:c r="E11" s="97" t="n">
        <x:f>'Indonesian'!D7</x:f>
        <x:v>0.7106581439889835</x:v>
      </x:c>
      <x:c r="F11" s="97" t="n">
        <x:f>'Indonesian'!E7</x:f>
        <x:v>0.6934219752577757</x:v>
      </x:c>
      <x:c r="G11" s="97" t="n">
        <x:f>'Indonesian'!F7</x:f>
        <x:v>0.8050267727385058</x:v>
      </x:c>
      <x:c r="H11" s="67"/>
      <x:c r="I11" s="67"/>
      <x:c r="J11" s="67"/>
      <x:c r="K11"/>
      <x:c r="L11"/>
    </x:row>
    <x:row r="12" ht="24" customHeight="1">
      <x:c r="A12" s="67"/>
      <x:c r="B12" s="92" t="str">
        <x:v>Indonesian</x:v>
      </x:c>
      <x:c r="C12" s="92" t="str">
        <x:v>tev1:4b</x:v>
      </x:c>
      <x:c r="D12" s="97" t="n">
        <x:f>'Indonesian'!C8</x:f>
        <x:v>0.8666927899686521</x:v>
      </x:c>
      <x:c r="E12" s="102" t="n">
        <x:f>'Indonesian'!D8</x:f>
        <x:v>0.8264415714783092</x:v>
      </x:c>
      <x:c r="F12" s="97" t="n">
        <x:f>'Indonesian'!E8</x:f>
        <x:v>0.7976595937852392</x:v>
      </x:c>
      <x:c r="G12" s="97" t="n">
        <x:f>'Indonesian'!F8</x:f>
        <x:v>0.8749217818122281</x:v>
      </x:c>
      <x:c r="H12" s="67"/>
      <x:c r="I12" s="67"/>
      <x:c r="J12" s="67"/>
      <x:c r="K12"/>
      <x:c r="L12"/>
    </x:row>
    <x:row r="13" ht="24" customHeight="1">
      <x:c r="A13" s="67"/>
      <x:c r="B13" s="107" t="str">
        <x:v>Indonesian</x:v>
      </x:c>
      <x:c r="C13" s="107" t="str">
        <x:v>typesafe/jev-1.13</x:v>
      </x:c>
      <x:c r="D13" s="116" t="n">
        <x:f>'Indonesian'!C9</x:f>
        <x:v>0.8882445141065831</x:v>
      </x:c>
      <x:c r="E13" s="111" t="n">
        <x:f>'Indonesian'!D9</x:f>
        <x:v>0.8191507573590764</x:v>
      </x:c>
      <x:c r="F13" s="116" t="n">
        <x:f>'Indonesian'!E9</x:f>
        <x:v>0.8191923068187693</x:v>
      </x:c>
      <x:c r="G13" s="116" t="n">
        <x:f>'Indonesian'!F9</x:f>
        <x:v>0.8871617844400538</x:v>
      </x:c>
      <x:c r="H13" s="67"/>
      <x:c r="I13" s="67"/>
      <x:c r="J13" s="67"/>
      <x:c r="K13"/>
      <x:c r="L13"/>
    </x:row>
    <x:row r="14" ht="24" customHeight="1">
      <x:c r="B14" s="140" t="str">
        <x:v>Bengali</x:v>
      </x:c>
      <x:c r="C14" s="140" t="str">
        <x:v>nimble:9b</x:v>
      </x:c>
      <x:c r="D14" s="144" t="n">
        <x:f>'Bengali'!C6</x:f>
        <x:v>0.20838557993730408</x:v>
      </x:c>
      <x:c r="E14" s="144" t="n">
        <x:f>'Bengali'!D6</x:f>
        <x:v>0.21688468384875723</x:v>
      </x:c>
      <x:c r="F14" s="144" t="n">
        <x:f>'Bengali'!E6</x:f>
        <x:v>0.20513156413391073</x:v>
      </x:c>
      <x:c r="G14" s="144" t="n">
        <x:f>'Bengali'!F6</x:f>
        <x:v>0.2075925771053881</x:v>
      </x:c>
    </x:row>
    <x:row r="15" ht="24" customHeight="1">
      <x:c r="B15" s="92" t="str">
        <x:v>Bengali</x:v>
      </x:c>
      <x:c r="C15" s="92" t="str">
        <x:v>tev1:0.8b</x:v>
      </x:c>
      <x:c r="D15" s="97" t="n">
        <x:f>'Bengali'!C7</x:f>
        <x:v>0.21230407523510972</x:v>
      </x:c>
      <x:c r="E15" s="102" t="n">
        <x:f>'Bengali'!D7</x:f>
        <x:v>0.23708326509795852</x:v>
      </x:c>
      <x:c r="F15" s="102" t="n">
        <x:f>'Bengali'!E7</x:f>
        <x:v>0.2146098152350054</x:v>
      </x:c>
      <x:c r="G15" s="97" t="n">
        <x:f>'Bengali'!F7</x:f>
        <x:v>0.20616951955872526</x:v>
      </x:c>
    </x:row>
    <x:row r="16" ht="24" customHeight="1">
      <x:c r="B16" s="92" t="str">
        <x:v>Bengali</x:v>
      </x:c>
      <x:c r="C16" s="92" t="str">
        <x:v>tev1:4b</x:v>
      </x:c>
      <x:c r="D16" s="102" t="n">
        <x:f>'Bengali'!C8</x:f>
        <x:v>0.21904388714733541</x:v>
      </x:c>
      <x:c r="E16" s="97" t="n">
        <x:f>'Bengali'!D8</x:f>
        <x:v>0.21760439658094707</x:v>
      </x:c>
      <x:c r="F16" s="97" t="n">
        <x:f>'Bengali'!E8</x:f>
        <x:v>0.20810310290328804</x:v>
      </x:c>
      <x:c r="G16" s="102" t="n">
        <x:f>'Bengali'!F8</x:f>
        <x:v>0.21496843246002806</x:v>
      </x:c>
    </x:row>
    <x:row r="17" ht="24" customHeight="1">
      <x:c r="B17" s="107" t="str">
        <x:v>Bengali</x:v>
      </x:c>
      <x:c r="C17" s="107" t="str">
        <x:v>typesafe/jev-1.13</x:v>
      </x:c>
      <x:c r="D17" s="111" t="n">
        <x:f>'Bengali'!C9</x:f>
        <x:v>0.20517241379310344</x:v>
      </x:c>
      <x:c r="E17" s="111" t="n">
        <x:f>'Bengali'!D9</x:f>
        <x:v>0.23546787178956896</x:v>
      </x:c>
      <x:c r="F17" s="111" t="n">
        <x:f>'Bengali'!E9</x:f>
        <x:v>0.20257795922688615</x:v>
      </x:c>
      <x:c r="G17" s="111" t="n">
        <x:f>'Bengali'!F9</x:f>
        <x:v>0.1952110181468601</x:v>
      </x:c>
    </x:row>
    <x:row r="18" ht="24" customHeight="1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/>
      <x:c r="L18"/>
    </x:row>
    <x:row r="19" ht="24" customHeight="1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/>
      <x:c r="L19"/>
    </x:row>
    <x:row r="20" ht="29" customHeight="1">
      <x:c r="A20" s="67"/>
      <x:c r="B20" s="72" t="str">
        <x:v>TABLE 2.</x:v>
      </x:c>
      <x:c r="C20" s="77" t="str">
        <x:v>Emotion classification performance.</x:v>
      </x:c>
      <x:c r="D20"/>
      <x:c r="E20"/>
      <x:c r="F20"/>
      <x:c r="G20"/>
      <x:c r="H20" s="67"/>
      <x:c r="I20" s="67"/>
      <x:c r="J20" s="67"/>
      <x:c r="K20"/>
      <x:c r="L20"/>
    </x:row>
    <x:row r="21" ht="36" customHeight="1">
      <x:c r="A21" s="67"/>
      <x:c r="B21" s="163" t="str">
        <x:v>Türkiye: emotion_tr, n = 4,403; Indonesian: emotion, n = 4,403; Bengali: emotion_bn, n = 4,403</x:v>
      </x:c>
      <x:c r="C21" s="61"/>
      <x:c r="D21" s="61"/>
      <x:c r="E21" s="61"/>
      <x:c r="F21" s="61"/>
      <x:c r="G21" s="61"/>
      <x:c r="H21" s="67"/>
      <x:c r="I21" s="67"/>
      <x:c r="J21" s="67"/>
      <x:c r="K21"/>
      <x:c r="L21"/>
    </x:row>
    <x:row r="22" ht="9" customHeight="1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/>
      <x:c r="L22"/>
    </x:row>
    <x:row r="23" ht="42" customHeight="1">
      <x:c r="A23" s="67"/>
      <x:c r="B23" s="88" t="str">
        <x:v>Country</x:v>
      </x:c>
      <x:c r="C23" s="88" t="str">
        <x:v>Model</x:v>
      </x:c>
      <x:c r="D23" s="90" t="str">
        <x:v>Accuracy</x:v>
      </x:c>
      <x:c r="E23" s="90" t="str">
        <x:v>Balanced
Accuracy</x:v>
      </x:c>
      <x:c r="F23" s="90" t="str">
        <x:v>Macro-F1</x:v>
      </x:c>
      <x:c r="G23" s="90" t="str">
        <x:v>Weighted-F1</x:v>
      </x:c>
      <x:c r="H23" s="67"/>
      <x:c r="I23" s="67"/>
      <x:c r="J23" s="67"/>
      <x:c r="K23"/>
      <x:c r="L23"/>
    </x:row>
    <x:row r="24" ht="24" customHeight="1">
      <x:c r="A24" s="67"/>
      <x:c r="B24" s="92" t="str">
        <x:v>Türkiye</x:v>
      </x:c>
      <x:c r="C24" s="92" t="str">
        <x:v>nimble:9b</x:v>
      </x:c>
      <x:c r="D24" s="97" t="n">
        <x:f>'Turkiye'!C16</x:f>
        <x:v>0.7138314785373608</x:v>
      </x:c>
      <x:c r="E24" s="97" t="n">
        <x:f>'Turkiye'!D16</x:f>
        <x:v>0.7138087774294671</x:v>
      </x:c>
      <x:c r="F24" s="97" t="n">
        <x:f>'Turkiye'!E16</x:f>
        <x:v>0.711551551667003</x:v>
      </x:c>
      <x:c r="G24" s="97" t="n">
        <x:f>'Turkiye'!F16</x:f>
        <x:v>0.7115608978473723</x:v>
      </x:c>
      <x:c r="H24" s="67"/>
      <x:c r="I24" s="67"/>
      <x:c r="J24" s="67"/>
      <x:c r="K24"/>
      <x:c r="L24"/>
    </x:row>
    <x:row r="25" ht="24" customHeight="1">
      <x:c r="A25" s="67"/>
      <x:c r="B25" s="92" t="str">
        <x:v>Türkiye</x:v>
      </x:c>
      <x:c r="C25" s="92" t="str">
        <x:v>tev1:0.8b</x:v>
      </x:c>
      <x:c r="D25" s="97" t="n">
        <x:f>'Turkiye'!C17</x:f>
        <x:v>0.4456052691346809</x:v>
      </x:c>
      <x:c r="E25" s="97" t="n">
        <x:f>'Turkiye'!D17</x:f>
        <x:v>0.4455968487048342</x:v>
      </x:c>
      <x:c r="F25" s="97" t="n">
        <x:f>'Turkiye'!E17</x:f>
        <x:v>0.44160034561160766</x:v>
      </x:c>
      <x:c r="G25" s="97" t="n">
        <x:f>'Turkiye'!F17</x:f>
        <x:v>0.4415667582324577</x:v>
      </x:c>
      <x:c r="H25" s="67"/>
      <x:c r="I25" s="67"/>
      <x:c r="J25" s="67"/>
      <x:c r="K25"/>
      <x:c r="L25"/>
    </x:row>
    <x:row r="26" ht="24" customHeight="1">
      <x:c r="A26" s="67"/>
      <x:c r="B26" s="92" t="str">
        <x:v>Türkiye</x:v>
      </x:c>
      <x:c r="C26" s="92" t="str">
        <x:v>tev1:4b</x:v>
      </x:c>
      <x:c r="D26" s="97" t="n">
        <x:f>'Turkiye'!C18</x:f>
        <x:v>0.6625028389734272</x:v>
      </x:c>
      <x:c r="E26" s="97" t="n">
        <x:f>'Turkiye'!D18</x:f>
        <x:v>0.6625045372050817</x:v>
      </x:c>
      <x:c r="F26" s="97" t="n">
        <x:f>'Turkiye'!E18</x:f>
        <x:v>0.6579680573949642</x:v>
      </x:c>
      <x:c r="G26" s="97" t="n">
        <x:f>'Turkiye'!F18</x:f>
        <x:v>0.6579525205986398</x:v>
      </x:c>
      <x:c r="H26" s="67"/>
      <x:c r="I26" s="67"/>
      <x:c r="J26" s="67"/>
      <x:c r="K26"/>
      <x:c r="L26"/>
    </x:row>
    <x:row r="27" ht="24" customHeight="1">
      <x:c r="A27" s="67"/>
      <x:c r="B27" s="92" t="str">
        <x:v>Türkiye</x:v>
      </x:c>
      <x:c r="C27" s="92" t="str">
        <x:v>typesafe/jev-1.13</x:v>
      </x:c>
      <x:c r="D27" s="102" t="n">
        <x:f>'Turkiye'!C19</x:f>
        <x:v>0.75584828526005</x:v>
      </x:c>
      <x:c r="E27" s="102" t="n">
        <x:f>'Turkiye'!D19</x:f>
        <x:v>0.7558241214321069</x:v>
      </x:c>
      <x:c r="F27" s="102" t="n">
        <x:f>'Turkiye'!E19</x:f>
        <x:v>0.7561817543236771</x:v>
      </x:c>
      <x:c r="G27" s="102" t="n">
        <x:f>'Turkiye'!F19</x:f>
        <x:v>0.7561937201671698</x:v>
      </x:c>
      <x:c r="H27" s="67"/>
      <x:c r="I27" s="67"/>
      <x:c r="J27" s="67"/>
      <x:c r="K27"/>
      <x:c r="L27"/>
    </x:row>
    <x:row r="28" ht="24" customHeight="1">
      <x:c r="A28" s="67"/>
      <x:c r="B28" s="140" t="str">
        <x:v>Indonesian</x:v>
      </x:c>
      <x:c r="C28" s="140" t="str">
        <x:v>nimble:9b</x:v>
      </x:c>
      <x:c r="D28" s="144" t="n">
        <x:f>'Indonesian'!C16</x:f>
        <x:v>0.7354076765841472</x:v>
      </x:c>
      <x:c r="E28" s="144" t="n">
        <x:f>'Indonesian'!D16</x:f>
        <x:v>0.7456868072756077</x:v>
      </x:c>
      <x:c r="F28" s="144" t="n">
        <x:f>'Indonesian'!E16</x:f>
        <x:v>0.7293039817580553</x:v>
      </x:c>
      <x:c r="G28" s="144" t="n">
        <x:f>'Indonesian'!F16</x:f>
        <x:v>0.7229239937737777</x:v>
      </x:c>
      <x:c r="H28" s="67"/>
      <x:c r="I28" s="67"/>
      <x:c r="J28" s="67"/>
      <x:c r="K28"/>
      <x:c r="L28"/>
    </x:row>
    <x:row r="29" ht="24" customHeight="1">
      <x:c r="A29" s="67"/>
      <x:c r="B29" s="92" t="str">
        <x:v>Indonesian</x:v>
      </x:c>
      <x:c r="C29" s="92" t="str">
        <x:v>tev1:0.8b</x:v>
      </x:c>
      <x:c r="D29" s="97" t="n">
        <x:f>'Indonesian'!C17</x:f>
        <x:v>0.61003861003861</x:v>
      </x:c>
      <x:c r="E29" s="97" t="n">
        <x:f>'Indonesian'!D17</x:f>
        <x:v>0.6098380083964551</x:v>
      </x:c>
      <x:c r="F29" s="97" t="n">
        <x:f>'Indonesian'!E17</x:f>
        <x:v>0.5991586996648655</x:v>
      </x:c>
      <x:c r="G29" s="97" t="n">
        <x:f>'Indonesian'!F17</x:f>
        <x:v>0.5895795574577072</x:v>
      </x:c>
      <x:c r="H29" s="67"/>
      <x:c r="I29" s="67"/>
      <x:c r="J29" s="67"/>
      <x:c r="K29"/>
      <x:c r="L29"/>
    </x:row>
    <x:row r="30" ht="24" customHeight="1">
      <x:c r="A30" s="67"/>
      <x:c r="B30" s="92" t="str">
        <x:v>Indonesian</x:v>
      </x:c>
      <x:c r="C30" s="92" t="str">
        <x:v>tev1:4b</x:v>
      </x:c>
      <x:c r="D30" s="97" t="n">
        <x:f>'Indonesian'!C18</x:f>
        <x:v>0.7369975017033841</x:v>
      </x:c>
      <x:c r="E30" s="97" t="n">
        <x:f>'Indonesian'!D18</x:f>
        <x:v>0.7414606934574517</x:v>
      </x:c>
      <x:c r="F30" s="97" t="n">
        <x:f>'Indonesian'!E18</x:f>
        <x:v>0.7342024579517497</x:v>
      </x:c>
      <x:c r="G30" s="97" t="n">
        <x:f>'Indonesian'!F18</x:f>
        <x:v>0.7272454736731437</x:v>
      </x:c>
      <x:c r="H30" s="67"/>
      <x:c r="I30" s="67"/>
      <x:c r="J30" s="67"/>
      <x:c r="K30"/>
      <x:c r="L30"/>
    </x:row>
    <x:row r="31" ht="24" customHeight="1">
      <x:c r="A31" s="67"/>
      <x:c r="B31" s="107" t="str">
        <x:v>Indonesian</x:v>
      </x:c>
      <x:c r="C31" s="107" t="str">
        <x:v>typesafe/jev-1.13</x:v>
      </x:c>
      <x:c r="D31" s="116" t="n">
        <x:f>'Indonesian'!C19</x:f>
        <x:v>0.7790143084260731</x:v>
      </x:c>
      <x:c r="E31" s="116" t="n">
        <x:f>'Indonesian'!D19</x:f>
        <x:v>0.7901531821063534</x:v>
      </x:c>
      <x:c r="F31" s="116" t="n">
        <x:f>'Indonesian'!E19</x:f>
        <x:v>0.7763329270486458</x:v>
      </x:c>
      <x:c r="G31" s="116" t="n">
        <x:f>'Indonesian'!F19</x:f>
        <x:v>0.7732888489158438</x:v>
      </x:c>
      <x:c r="H31" s="67"/>
      <x:c r="I31" s="67"/>
      <x:c r="J31" s="67"/>
      <x:c r="K31"/>
      <x:c r="L31"/>
    </x:row>
    <x:row r="32" ht="24" customHeight="1">
      <x:c r="B32" s="140" t="str">
        <x:v>Bengali</x:v>
      </x:c>
      <x:c r="C32" s="140" t="str">
        <x:v>nimble:9b</x:v>
      </x:c>
      <x:c r="D32" s="144" t="n">
        <x:f>'Bengali'!C16</x:f>
        <x:v>0.6004996593231887</x:v>
      </x:c>
      <x:c r="E32" s="144" t="n">
        <x:f>'Bengali'!D16</x:f>
        <x:v>0.5990613356911859</x:v>
      </x:c>
      <x:c r="F32" s="144" t="n">
        <x:f>'Bengali'!E16</x:f>
        <x:v>0.5788180270620266</x:v>
      </x:c>
      <x:c r="G32" s="144" t="n">
        <x:f>'Bengali'!F16</x:f>
        <x:v>0.5801035060063106</x:v>
      </x:c>
    </x:row>
    <x:row r="33" ht="24" customHeight="1">
      <x:c r="B33" s="92" t="str">
        <x:v>Bengali</x:v>
      </x:c>
      <x:c r="C33" s="92" t="str">
        <x:v>tev1:0.8b</x:v>
      </x:c>
      <x:c r="D33" s="97" t="n">
        <x:f>'Bengali'!C17</x:f>
        <x:v>0.42130365659777425</x:v>
      </x:c>
      <x:c r="E33" s="97" t="n">
        <x:f>'Bengali'!D17</x:f>
        <x:v>0.41690441096340175</x:v>
      </x:c>
      <x:c r="F33" s="97" t="n">
        <x:f>'Bengali'!E17</x:f>
        <x:v>0.4160678435439207</x:v>
      </x:c>
      <x:c r="G33" s="97" t="n">
        <x:f>'Bengali'!F17</x:f>
        <x:v>0.4269801715465497</x:v>
      </x:c>
    </x:row>
    <x:row r="34" ht="24" customHeight="1">
      <x:c r="B34" s="92" t="str">
        <x:v>Bengali</x:v>
      </x:c>
      <x:c r="C34" s="92" t="str">
        <x:v>tev1:4b</x:v>
      </x:c>
      <x:c r="D34" s="97" t="n">
        <x:f>'Bengali'!C18</x:f>
        <x:v>0.5955030660913014</x:v>
      </x:c>
      <x:c r="E34" s="97" t="n">
        <x:f>'Bengali'!D18</x:f>
        <x:v>0.5753825129324456</x:v>
      </x:c>
      <x:c r="F34" s="97" t="n">
        <x:f>'Bengali'!E18</x:f>
        <x:v>0.5800062869637476</x:v>
      </x:c>
      <x:c r="G34" s="97" t="n">
        <x:f>'Bengali'!F18</x:f>
        <x:v>0.5916232860722173</x:v>
      </x:c>
    </x:row>
    <x:row r="35" ht="24" customHeight="1">
      <x:c r="B35" s="107" t="str">
        <x:v>Bengali</x:v>
      </x:c>
      <x:c r="C35" s="107" t="str">
        <x:v>typesafe/jev-1.13</x:v>
      </x:c>
      <x:c r="D35" s="116" t="n">
        <x:f>'Bengali'!C19</x:f>
        <x:v>0.6472859414035884</x:v>
      </x:c>
      <x:c r="E35" s="116" t="n">
        <x:f>'Bengali'!D19</x:f>
        <x:v>0.6547283274025802</x:v>
      </x:c>
      <x:c r="F35" s="116" t="n">
        <x:f>'Bengali'!E19</x:f>
        <x:v>0.6210517444098744</x:v>
      </x:c>
      <x:c r="G35" s="116" t="n">
        <x:f>'Bengali'!F19</x:f>
        <x:v>0.6155801461134107</x:v>
      </x:c>
    </x:row>
    <x:row r="36" ht="24" customHeight="1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/>
      <x:c r="L36"/>
    </x:row>
    <x:row r="37" ht="24" customHeight="1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/>
      <x:c r="L37"/>
    </x:row>
    <x:row r="38" ht="29" customHeight="1">
      <x:c r="A38" s="67"/>
      <x:c r="B38" s="72" t="str">
        <x:v>TABLE 3.</x:v>
      </x:c>
      <x:c r="C38" s="77" t="str">
        <x:v>Sentiment confidence intervals.</x:v>
      </x:c>
      <x:c r="D38"/>
      <x:c r="E38"/>
      <x:c r="F38"/>
      <x:c r="G38"/>
      <x:c r="H38" s="67"/>
      <x:c r="I38" s="67"/>
      <x:c r="J38" s="67"/>
      <x:c r="K38"/>
      <x:c r="L38"/>
    </x:row>
    <x:row r="39" ht="36" customHeight="1">
      <x:c r="A39" s="67"/>
      <x:c r="B39" s="163" t="str">
        <x:v>Türkiye: sentiment_tr, n = 12,760; Indonesian: sentiment, n = 12,760; Bengali: sentiment_bn, n = 12,760</x:v>
      </x:c>
      <x:c r="C39" s="61"/>
      <x:c r="D39" s="61"/>
      <x:c r="E39" s="61"/>
      <x:c r="F39" s="61"/>
      <x:c r="G39" s="61"/>
      <x:c r="H39" s="67"/>
      <x:c r="I39" s="67"/>
      <x:c r="J39" s="67"/>
      <x:c r="K39"/>
      <x:c r="L39"/>
    </x:row>
    <x:row r="40" ht="9" customHeight="1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/>
      <x:c r="L40"/>
    </x:row>
    <x:row r="41" ht="42" customHeight="1">
      <x:c r="A41" s="67"/>
      <x:c r="B41" s="88" t="str">
        <x:v>Country</x:v>
      </x:c>
      <x:c r="C41" s="88" t="str">
        <x:v>Model</x:v>
      </x:c>
      <x:c r="D41" s="90" t="str">
        <x:v>Accuracy
Lower</x:v>
      </x:c>
      <x:c r="E41" s="90" t="str">
        <x:v>Accuracy
Upper</x:v>
      </x:c>
      <x:c r="F41" s="90" t="str">
        <x:v>Macro-F1
Lower</x:v>
      </x:c>
      <x:c r="G41" s="90" t="str">
        <x:v>Macro-F1
Upper</x:v>
      </x:c>
      <x:c r="H41" s="67"/>
      <x:c r="I41" s="67"/>
      <x:c r="J41" s="67"/>
      <x:c r="K41"/>
      <x:c r="L41"/>
    </x:row>
    <x:row r="42" ht="24" customHeight="1">
      <x:c r="A42" s="67"/>
      <x:c r="B42" s="92" t="str">
        <x:v>Türkiye</x:v>
      </x:c>
      <x:c r="C42" s="92" t="str">
        <x:v>nimble:9b</x:v>
      </x:c>
      <x:c r="D42" s="97" t="n">
        <x:f>'Turkiye'!C26</x:f>
        <x:v>0.770685736677116</x:v>
      </x:c>
      <x:c r="E42" s="97" t="n">
        <x:f>'Turkiye'!D26</x:f>
        <x:v>0.7813479623824452</x:v>
      </x:c>
      <x:c r="F42" s="97" t="n">
        <x:f>'Turkiye'!E26</x:f>
        <x:v>0.6172150210693468</x:v>
      </x:c>
      <x:c r="G42" s="97" t="n">
        <x:f>'Turkiye'!F26</x:f>
        <x:v>0.6335706053728195</x:v>
      </x:c>
      <x:c r="H42" s="67"/>
      <x:c r="I42" s="67"/>
      <x:c r="J42" s="67"/>
      <x:c r="K42"/>
      <x:c r="L42"/>
    </x:row>
    <x:row r="43" ht="24" customHeight="1">
      <x:c r="A43" s="67"/>
      <x:c r="B43" s="92" t="str">
        <x:v>Türkiye</x:v>
      </x:c>
      <x:c r="C43" s="92" t="str">
        <x:v>tev1:0.8b</x:v>
      </x:c>
      <x:c r="D43" s="97" t="n">
        <x:f>'Turkiye'!C27</x:f>
        <x:v>0.7230407523510972</x:v>
      </x:c>
      <x:c r="E43" s="97" t="n">
        <x:f>'Turkiye'!D27</x:f>
        <x:v>0.7358934169278997</x:v>
      </x:c>
      <x:c r="F43" s="97" t="n">
        <x:f>'Turkiye'!E27</x:f>
        <x:v>0.599522534207368</x:v>
      </x:c>
      <x:c r="G43" s="97" t="n">
        <x:f>'Turkiye'!F27</x:f>
        <x:v>0.6168129747375256</x:v>
      </x:c>
      <x:c r="H43" s="67"/>
      <x:c r="I43" s="67"/>
      <x:c r="J43" s="67"/>
      <x:c r="K43"/>
      <x:c r="L43"/>
    </x:row>
    <x:row r="44" ht="24" customHeight="1">
      <x:c r="A44" s="67"/>
      <x:c r="B44" s="92" t="str">
        <x:v>Türkiye</x:v>
      </x:c>
      <x:c r="C44" s="92" t="str">
        <x:v>tev1:4b</x:v>
      </x:c>
      <x:c r="D44" s="97" t="n">
        <x:f>'Turkiye'!C28</x:f>
        <x:v>0.7815027429467085</x:v>
      </x:c>
      <x:c r="E44" s="97" t="n">
        <x:f>'Turkiye'!D28</x:f>
        <x:v>0.7933405172413793</x:v>
      </x:c>
      <x:c r="F44" s="97" t="n">
        <x:f>'Turkiye'!E28</x:f>
        <x:v>0.6659518960305314</x:v>
      </x:c>
      <x:c r="G44" s="97" t="n">
        <x:f>'Turkiye'!F28</x:f>
        <x:v>0.6843328072057725</x:v>
      </x:c>
      <x:c r="H44" s="67"/>
      <x:c r="I44" s="67"/>
      <x:c r="J44" s="67"/>
      <x:c r="K44"/>
      <x:c r="L44"/>
    </x:row>
    <x:row r="45" ht="24" customHeight="1">
      <x:c r="A45" s="67"/>
      <x:c r="B45" s="92" t="str">
        <x:v>Türkiye</x:v>
      </x:c>
      <x:c r="C45" s="92" t="str">
        <x:v>typesafe/jev-1.13</x:v>
      </x:c>
      <x:c r="D45" s="97" t="n">
        <x:f>'Turkiye'!C29</x:f>
        <x:v>0.7693573667711598</x:v>
      </x:c>
      <x:c r="E45" s="97" t="n">
        <x:f>'Turkiye'!D29</x:f>
        <x:v>0.7797805642633229</x:v>
      </x:c>
      <x:c r="F45" s="97" t="n">
        <x:f>'Turkiye'!E29</x:f>
        <x:v>0.6034083109370219</x:v>
      </x:c>
      <x:c r="G45" s="97" t="n">
        <x:f>'Turkiye'!F29</x:f>
        <x:v>0.6202707542559104</x:v>
      </x:c>
      <x:c r="H45" s="67"/>
      <x:c r="I45" s="67"/>
      <x:c r="J45" s="67"/>
      <x:c r="K45"/>
      <x:c r="L45"/>
    </x:row>
    <x:row r="46" ht="24" customHeight="1">
      <x:c r="A46" s="67"/>
      <x:c r="B46" s="140" t="str">
        <x:v>Indonesian</x:v>
      </x:c>
      <x:c r="C46" s="140" t="str">
        <x:v>nimble:9b</x:v>
      </x:c>
      <x:c r="D46" s="144" t="n">
        <x:f>'Indonesian'!C26</x:f>
        <x:v>0.8822100313479624</x:v>
      </x:c>
      <x:c r="E46" s="144" t="n">
        <x:f>'Indonesian'!D26</x:f>
        <x:v>0.8925215517241379</x:v>
      </x:c>
      <x:c r="F46" s="144" t="n">
        <x:f>'Indonesian'!E26</x:f>
        <x:v>0.8076867150111436</x:v>
      </x:c>
      <x:c r="G46" s="144" t="n">
        <x:f>'Indonesian'!F26</x:f>
        <x:v>0.8244974067753217</x:v>
      </x:c>
      <x:c r="H46" s="67"/>
      <x:c r="I46" s="67"/>
      <x:c r="J46" s="67"/>
      <x:c r="K46"/>
      <x:c r="L46"/>
    </x:row>
    <x:row r="47" ht="24" customHeight="1">
      <x:c r="A47" s="67"/>
      <x:c r="B47" s="92" t="str">
        <x:v>Indonesian</x:v>
      </x:c>
      <x:c r="C47" s="92" t="str">
        <x:v>tev1:0.8b</x:v>
      </x:c>
      <x:c r="D47" s="97" t="n">
        <x:f>'Indonesian'!C27</x:f>
        <x:v>0.7849118338557993</x:v>
      </x:c>
      <x:c r="E47" s="97" t="n">
        <x:f>'Indonesian'!D27</x:f>
        <x:v>0.7985148902821316</x:v>
      </x:c>
      <x:c r="F47" s="97" t="n">
        <x:f>'Indonesian'!E27</x:f>
        <x:v>0.6845606552080068</x:v>
      </x:c>
      <x:c r="G47" s="97" t="n">
        <x:f>'Indonesian'!F27</x:f>
        <x:v>0.7018003724273049</x:v>
      </x:c>
      <x:c r="H47" s="67"/>
      <x:c r="I47" s="67"/>
      <x:c r="J47" s="67"/>
      <x:c r="K47"/>
      <x:c r="L47"/>
    </x:row>
    <x:row r="48" ht="24" customHeight="1">
      <x:c r="A48" s="67"/>
      <x:c r="B48" s="92" t="str">
        <x:v>Indonesian</x:v>
      </x:c>
      <x:c r="C48" s="92" t="str">
        <x:v>tev1:4b</x:v>
      </x:c>
      <x:c r="D48" s="97" t="n">
        <x:f>'Indonesian'!C28</x:f>
        <x:v>0.8606916144200627</x:v>
      </x:c>
      <x:c r="E48" s="97" t="n">
        <x:f>'Indonesian'!D28</x:f>
        <x:v>0.8723765673981191</x:v>
      </x:c>
      <x:c r="F48" s="97" t="n">
        <x:f>'Indonesian'!E28</x:f>
        <x:v>0.7896807629999933</x:v>
      </x:c>
      <x:c r="G48" s="97" t="n">
        <x:f>'Indonesian'!F28</x:f>
        <x:v>0.8050750403686845</x:v>
      </x:c>
      <x:c r="H48" s="67"/>
      <x:c r="I48" s="67"/>
      <x:c r="J48" s="67"/>
      <x:c r="K48"/>
      <x:c r="L48"/>
    </x:row>
    <x:row r="49" ht="24" customHeight="1">
      <x:c r="A49" s="67"/>
      <x:c r="B49" s="107" t="str">
        <x:v>Indonesian</x:v>
      </x:c>
      <x:c r="C49" s="107" t="str">
        <x:v>typesafe/jev-1.13</x:v>
      </x:c>
      <x:c r="D49" s="111" t="n">
        <x:f>'Indonesian'!C29</x:f>
        <x:v>0.8825979623824451</x:v>
      </x:c>
      <x:c r="E49" s="111" t="n">
        <x:f>'Indonesian'!D29</x:f>
        <x:v>0.8933836206896552</x:v>
      </x:c>
      <x:c r="F49" s="111" t="n">
        <x:f>'Indonesian'!E29</x:f>
        <x:v>0.8106486340073024</x:v>
      </x:c>
      <x:c r="G49" s="111" t="n">
        <x:f>'Indonesian'!F29</x:f>
        <x:v>0.8276170801456971</x:v>
      </x:c>
      <x:c r="H49" s="67"/>
      <x:c r="I49" s="67"/>
      <x:c r="J49" s="67"/>
      <x:c r="K49"/>
      <x:c r="L49"/>
    </x:row>
    <x:row r="50" ht="24" customHeight="1">
      <x:c r="B50" s="140" t="str">
        <x:v>Bengali</x:v>
      </x:c>
      <x:c r="C50" s="140" t="str">
        <x:v>nimble:9b</x:v>
      </x:c>
      <x:c r="D50" s="144" t="n">
        <x:f>'Bengali'!C26</x:f>
        <x:v>0.20148902821316614</x:v>
      </x:c>
      <x:c r="E50" s="144" t="n">
        <x:f>'Bengali'!D26</x:f>
        <x:v>0.21512735109717868</x:v>
      </x:c>
      <x:c r="F50" s="144" t="n">
        <x:f>'Bengali'!E26</x:f>
        <x:v>0.19838603507688798</x:v>
      </x:c>
      <x:c r="G50" s="144" t="n">
        <x:f>'Bengali'!F26</x:f>
        <x:v>0.2118201183157782</x:v>
      </x:c>
    </x:row>
    <x:row r="51" ht="24" customHeight="1">
      <x:c r="B51" s="92" t="str">
        <x:v>Bengali</x:v>
      </x:c>
      <x:c r="C51" s="92" t="str">
        <x:v>tev1:0.8b</x:v>
      </x:c>
      <x:c r="D51" s="97" t="n">
        <x:f>'Bengali'!C27</x:f>
        <x:v>0.20564067398119124</x:v>
      </x:c>
      <x:c r="E51" s="97" t="n">
        <x:f>'Bengali'!D27</x:f>
        <x:v>0.21912421630094042</x:v>
      </x:c>
      <x:c r="F51" s="97" t="n">
        <x:f>'Bengali'!E27</x:f>
        <x:v>0.20796775595338776</x:v>
      </x:c>
      <x:c r="G51" s="97" t="n">
        <x:f>'Bengali'!F27</x:f>
        <x:v>0.22132577451841817</x:v>
      </x:c>
    </x:row>
    <x:row r="52" ht="24" customHeight="1">
      <x:c r="B52" s="92" t="str">
        <x:v>Bengali</x:v>
      </x:c>
      <x:c r="C52" s="92" t="str">
        <x:v>tev1:4b</x:v>
      </x:c>
      <x:c r="D52" s="97" t="n">
        <x:f>'Bengali'!C28</x:f>
        <x:v>0.2120689655172414</x:v>
      </x:c>
      <x:c r="E52" s="97" t="n">
        <x:f>'Bengali'!D28</x:f>
        <x:v>0.2261755485893417</x:v>
      </x:c>
      <x:c r="F52" s="97" t="n">
        <x:f>'Bengali'!E28</x:f>
        <x:v>0.20183853419882924</x:v>
      </x:c>
      <x:c r="G52" s="97" t="n">
        <x:f>'Bengali'!F28</x:f>
        <x:v>0.2149873056163275</x:v>
      </x:c>
    </x:row>
    <x:row r="53" ht="24" customHeight="1">
      <x:c r="B53" s="107" t="str">
        <x:v>Bengali</x:v>
      </x:c>
      <x:c r="C53" s="107" t="str">
        <x:v>typesafe/jev-1.13</x:v>
      </x:c>
      <x:c r="D53" s="111" t="n">
        <x:f>'Bengali'!C29</x:f>
        <x:v>0.19850901253918496</x:v>
      </x:c>
      <x:c r="E53" s="111" t="n">
        <x:f>'Bengali'!D29</x:f>
        <x:v>0.21183973354231972</x:v>
      </x:c>
      <x:c r="F53" s="111" t="n">
        <x:f>'Bengali'!E29</x:f>
        <x:v>0.19591799043376254</x:v>
      </x:c>
      <x:c r="G53" s="111" t="n">
        <x:f>'Bengali'!F29</x:f>
        <x:v>0.20923704004545837</x:v>
      </x:c>
    </x:row>
    <x:row r="54" ht="24" customHeight="1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/>
      <x:c r="L54"/>
    </x:row>
    <x:row r="55" ht="24" customHeight="1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/>
      <x:c r="L55"/>
    </x:row>
    <x:row r="56" ht="29" customHeight="1">
      <x:c r="A56" s="67"/>
      <x:c r="B56" s="72" t="str">
        <x:v>TABLE 4.</x:v>
      </x:c>
      <x:c r="C56" s="77" t="str">
        <x:v>Emotion confidence intervals.</x:v>
      </x:c>
      <x:c r="D56"/>
      <x:c r="E56"/>
      <x:c r="F56"/>
      <x:c r="G56"/>
      <x:c r="H56" s="67"/>
      <x:c r="I56" s="67"/>
      <x:c r="J56" s="67"/>
      <x:c r="K56"/>
      <x:c r="L56"/>
    </x:row>
    <x:row r="57" ht="36" customHeight="1">
      <x:c r="A57" s="67"/>
      <x:c r="B57" s="163" t="str">
        <x:v>Türkiye: emotion_tr, n = 4,403; Indonesian: emotion, n = 4,403; Bengali: emotion_bn, n = 4,403</x:v>
      </x:c>
      <x:c r="C57" s="61"/>
      <x:c r="D57" s="61"/>
      <x:c r="E57" s="61"/>
      <x:c r="F57" s="61"/>
      <x:c r="G57" s="61"/>
      <x:c r="H57" s="67"/>
      <x:c r="I57" s="67"/>
      <x:c r="J57" s="67"/>
      <x:c r="K57"/>
      <x:c r="L57"/>
    </x:row>
    <x:row r="58" ht="9" customHeight="1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/>
      <x:c r="L58"/>
    </x:row>
    <x:row r="59" ht="42" customHeight="1">
      <x:c r="A59" s="67"/>
      <x:c r="B59" s="88" t="str">
        <x:v>Country</x:v>
      </x:c>
      <x:c r="C59" s="88" t="str">
        <x:v>Model</x:v>
      </x:c>
      <x:c r="D59" s="90" t="str">
        <x:v>Accuracy
Lower</x:v>
      </x:c>
      <x:c r="E59" s="90" t="str">
        <x:v>Accuracy
Upper</x:v>
      </x:c>
      <x:c r="F59" s="90" t="str">
        <x:v>Macro-F1
Lower</x:v>
      </x:c>
      <x:c r="G59" s="90" t="str">
        <x:v>Macro-F1
Upper</x:v>
      </x:c>
      <x:c r="H59" s="67"/>
      <x:c r="I59" s="67"/>
      <x:c r="J59" s="67"/>
      <x:c r="K59"/>
      <x:c r="L59"/>
    </x:row>
    <x:row r="60" ht="24" customHeight="1">
      <x:c r="A60" s="67"/>
      <x:c r="B60" s="92" t="str">
        <x:v>Türkiye</x:v>
      </x:c>
      <x:c r="C60" s="92" t="str">
        <x:v>nimble:9b</x:v>
      </x:c>
      <x:c r="D60" s="97" t="n">
        <x:f>'Turkiye'!C36</x:f>
        <x:v>0.7006529638882579</x:v>
      </x:c>
      <x:c r="E60" s="97" t="n">
        <x:f>'Turkiye'!D36</x:f>
        <x:v>0.7265500794912559</x:v>
      </x:c>
      <x:c r="F60" s="97" t="n">
        <x:f>'Turkiye'!E36</x:f>
        <x:v>0.6980687000011012</x:v>
      </x:c>
      <x:c r="G60" s="97" t="n">
        <x:f>'Turkiye'!F36</x:f>
        <x:v>0.7246624847474609</x:v>
      </x:c>
      <x:c r="H60" s="67"/>
      <x:c r="I60" s="67"/>
      <x:c r="J60" s="67"/>
      <x:c r="K60"/>
      <x:c r="L60"/>
    </x:row>
    <x:row r="61" ht="24" customHeight="1">
      <x:c r="A61" s="67"/>
      <x:c r="B61" s="92" t="str">
        <x:v>Türkiye</x:v>
      </x:c>
      <x:c r="C61" s="92" t="str">
        <x:v>tev1:0.8b</x:v>
      </x:c>
      <x:c r="D61" s="97" t="n">
        <x:f>'Turkiye'!C37</x:f>
        <x:v>0.43265955030660913</x:v>
      </x:c>
      <x:c r="E61" s="97" t="n">
        <x:f>'Turkiye'!D37</x:f>
        <x:v>0.4590052237111061</x:v>
      </x:c>
      <x:c r="F61" s="97" t="n">
        <x:f>'Turkiye'!E37</x:f>
        <x:v>0.4273256718900786</x:v>
      </x:c>
      <x:c r="G61" s="97" t="n">
        <x:f>'Turkiye'!F37</x:f>
        <x:v>0.45540126068180886</x:v>
      </x:c>
      <x:c r="H61" s="67"/>
      <x:c r="I61" s="67"/>
      <x:c r="J61" s="67"/>
      <x:c r="K61"/>
      <x:c r="L61"/>
    </x:row>
    <x:row r="62" ht="24" customHeight="1">
      <x:c r="A62" s="67"/>
      <x:c r="B62" s="92" t="str">
        <x:v>Türkiye</x:v>
      </x:c>
      <x:c r="C62" s="92" t="str">
        <x:v>tev1:4b</x:v>
      </x:c>
      <x:c r="D62" s="97" t="n">
        <x:f>'Turkiye'!C38</x:f>
        <x:v>0.6495571201453555</x:v>
      </x:c>
      <x:c r="E62" s="97" t="n">
        <x:f>'Turkiye'!D38</x:f>
        <x:v>0.6756756756756757</x:v>
      </x:c>
      <x:c r="F62" s="97" t="n">
        <x:f>'Turkiye'!E38</x:f>
        <x:v>0.6445261665880212</x:v>
      </x:c>
      <x:c r="G62" s="97" t="n">
        <x:f>'Turkiye'!F38</x:f>
        <x:v>0.6709989772261676</x:v>
      </x:c>
      <x:c r="H62" s="67"/>
      <x:c r="I62" s="67"/>
      <x:c r="J62" s="67"/>
      <x:c r="K62"/>
      <x:c r="L62"/>
    </x:row>
    <x:row r="63" ht="24" customHeight="1">
      <x:c r="A63" s="67"/>
      <x:c r="B63" s="92" t="str">
        <x:v>Türkiye</x:v>
      </x:c>
      <x:c r="C63" s="92" t="str">
        <x:v>typesafe/jev-1.13</x:v>
      </x:c>
      <x:c r="D63" s="97" t="n">
        <x:f>'Turkiye'!C39</x:f>
        <x:v>0.7422155348625936</x:v>
      </x:c>
      <x:c r="E63" s="97" t="n">
        <x:f>'Turkiye'!D39</x:f>
        <x:v>0.7676584147172383</x:v>
      </x:c>
      <x:c r="F63" s="97" t="n">
        <x:f>'Turkiye'!E39</x:f>
        <x:v>0.7421672060650313</x:v>
      </x:c>
      <x:c r="G63" s="97" t="n">
        <x:f>'Turkiye'!F39</x:f>
        <x:v>0.767915349264944</x:v>
      </x:c>
      <x:c r="H63" s="67"/>
      <x:c r="I63" s="67"/>
      <x:c r="J63" s="67"/>
      <x:c r="K63"/>
      <x:c r="L63"/>
    </x:row>
    <x:row r="64" ht="24" customHeight="1">
      <x:c r="A64" s="67"/>
      <x:c r="B64" s="140" t="str">
        <x:v>Indonesian</x:v>
      </x:c>
      <x:c r="C64" s="140" t="str">
        <x:v>nimble:9b</x:v>
      </x:c>
      <x:c r="D64" s="144" t="n">
        <x:f>'Indonesian'!C36</x:f>
        <x:v>0.7232511923688394</x:v>
      </x:c>
      <x:c r="E64" s="144" t="n">
        <x:f>'Indonesian'!D36</x:f>
        <x:v>0.7471099250511015</x:v>
      </x:c>
      <x:c r="F64" s="144" t="n">
        <x:f>'Indonesian'!E36</x:f>
        <x:v>0.7165774440518634</x:v>
      </x:c>
      <x:c r="G64" s="144" t="n">
        <x:f>'Indonesian'!F36</x:f>
        <x:v>0.7417999296857424</x:v>
      </x:c>
      <x:c r="H64" s="67"/>
      <x:c r="I64" s="67"/>
      <x:c r="J64" s="67"/>
      <x:c r="K64"/>
      <x:c r="L64"/>
    </x:row>
    <x:row r="65" ht="24" customHeight="1">
      <x:c r="A65" s="67"/>
      <x:c r="B65" s="92" t="str">
        <x:v>Indonesian</x:v>
      </x:c>
      <x:c r="C65" s="92" t="str">
        <x:v>tev1:0.8b</x:v>
      </x:c>
      <x:c r="D65" s="97" t="n">
        <x:f>'Indonesian'!C37</x:f>
        <x:v>0.5977742448330684</x:v>
      </x:c>
      <x:c r="E65" s="97" t="n">
        <x:f>'Indonesian'!D37</x:f>
        <x:v>0.6232114467408585</x:v>
      </x:c>
      <x:c r="F65" s="97" t="n">
        <x:f>'Indonesian'!E37</x:f>
        <x:v>0.5849601611679426</x:v>
      </x:c>
      <x:c r="G65" s="97" t="n">
        <x:f>'Indonesian'!F37</x:f>
        <x:v>0.6143155109060797</x:v>
      </x:c>
      <x:c r="H65" s="67"/>
      <x:c r="I65" s="67"/>
      <x:c r="J65" s="67"/>
      <x:c r="K65"/>
      <x:c r="L65"/>
    </x:row>
    <x:row r="66" ht="24" customHeight="1">
      <x:c r="A66" s="67"/>
      <x:c r="B66" s="92" t="str">
        <x:v>Indonesian</x:v>
      </x:c>
      <x:c r="C66" s="92" t="str">
        <x:v>tev1:4b</x:v>
      </x:c>
      <x:c r="D66" s="97" t="n">
        <x:f>'Indonesian'!C38</x:f>
        <x:v>0.7252952532364297</x:v>
      </x:c>
      <x:c r="E66" s="97" t="n">
        <x:f>'Indonesian'!D38</x:f>
        <x:v>0.7497161026572792</x:v>
      </x:c>
      <x:c r="F66" s="97" t="n">
        <x:f>'Indonesian'!E38</x:f>
        <x:v>0.7224211248045866</x:v>
      </x:c>
      <x:c r="G66" s="97" t="n">
        <x:f>'Indonesian'!F38</x:f>
        <x:v>0.7478181892313951</x:v>
      </x:c>
      <x:c r="H66" s="67"/>
      <x:c r="I66" s="67"/>
      <x:c r="J66" s="67"/>
      <x:c r="K66"/>
      <x:c r="L66"/>
    </x:row>
    <x:row r="67" ht="24" customHeight="1">
      <x:c r="A67" s="67"/>
      <x:c r="B67" s="107" t="str">
        <x:v>Indonesian</x:v>
      </x:c>
      <x:c r="C67" s="107" t="str">
        <x:v>typesafe/jev-1.13</x:v>
      </x:c>
      <x:c r="D67" s="111" t="n">
        <x:f>'Indonesian'!C39</x:f>
        <x:v>0.7673120599591188</x:v>
      </x:c>
      <x:c r="E67" s="111" t="n">
        <x:f>'Indonesian'!D39</x:f>
        <x:v>0.7901544401544401</x:v>
      </x:c>
      <x:c r="F67" s="111" t="n">
        <x:f>'Indonesian'!E39</x:f>
        <x:v>0.7643556028384587</x:v>
      </x:c>
      <x:c r="G67" s="111" t="n">
        <x:f>'Indonesian'!F39</x:f>
        <x:v>0.7878237936090723</x:v>
      </x:c>
      <x:c r="H67" s="67"/>
      <x:c r="I67" s="67"/>
      <x:c r="J67" s="67"/>
      <x:c r="K67"/>
      <x:c r="L67"/>
    </x:row>
    <x:row r="68" ht="24" customHeight="1">
      <x:c r="B68" s="140" t="str">
        <x:v>Bengali</x:v>
      </x:c>
      <x:c r="C68" s="140" t="str">
        <x:v>nimble:9b</x:v>
      </x:c>
      <x:c r="D68" s="144" t="n">
        <x:f>'Bengali'!C36</x:f>
        <x:v>0.5880081762434703</x:v>
      </x:c>
      <x:c r="E68" s="144" t="n">
        <x:f>'Bengali'!D36</x:f>
        <x:v>0.6132239382239383</x:v>
      </x:c>
      <x:c r="F68" s="144" t="n">
        <x:f>'Bengali'!E36</x:f>
        <x:v>0.5646124329878399</x:v>
      </x:c>
      <x:c r="G68" s="144" t="n">
        <x:f>'Bengali'!F36</x:f>
        <x:v>0.5927225953548738</x:v>
      </x:c>
    </x:row>
    <x:row r="69" ht="24" customHeight="1">
      <x:c r="B69" s="92" t="str">
        <x:v>Bengali</x:v>
      </x:c>
      <x:c r="C69" s="92" t="str">
        <x:v>tev1:0.8b</x:v>
      </x:c>
      <x:c r="D69" s="97" t="n">
        <x:f>'Bengali'!C37</x:f>
        <x:v>0.40789802407449466</x:v>
      </x:c>
      <x:c r="E69" s="97" t="n">
        <x:f>'Bengali'!D37</x:f>
        <x:v>0.4353849647967295</x:v>
      </x:c>
      <x:c r="F69" s="97" t="n">
        <x:f>'Bengali'!E37</x:f>
        <x:v>0.401912761867565</x:v>
      </x:c>
      <x:c r="G69" s="97" t="n">
        <x:f>'Bengali'!F37</x:f>
        <x:v>0.430686797589847</x:v>
      </x:c>
    </x:row>
    <x:row r="70" ht="24" customHeight="1">
      <x:c r="B70" s="92" t="str">
        <x:v>Bengali</x:v>
      </x:c>
      <x:c r="C70" s="92" t="str">
        <x:v>tev1:4b</x:v>
      </x:c>
      <x:c r="D70" s="97" t="n">
        <x:f>'Bengali'!C38</x:f>
        <x:v>0.5825516693163751</x:v>
      </x:c>
      <x:c r="E70" s="97" t="n">
        <x:f>'Bengali'!D38</x:f>
        <x:v>0.6089030206677265</x:v>
      </x:c>
      <x:c r="F70" s="97" t="n">
        <x:f>'Bengali'!E38</x:f>
        <x:v>0.565895246306132</x:v>
      </x:c>
      <x:c r="G70" s="97" t="n">
        <x:f>'Bengali'!F38</x:f>
        <x:v>0.5942178098763146</x:v>
      </x:c>
    </x:row>
    <x:row r="71" ht="24" customHeight="1">
      <x:c r="B71" s="107" t="str">
        <x:v>Bengali</x:v>
      </x:c>
      <x:c r="C71" s="107" t="str">
        <x:v>typesafe/jev-1.13</x:v>
      </x:c>
      <x:c r="D71" s="111" t="n">
        <x:f>'Bengali'!C39</x:f>
        <x:v>0.6350215761980468</x:v>
      </x:c>
      <x:c r="E71" s="111" t="n">
        <x:f>'Bengali'!D39</x:f>
        <x:v>0.6584147172382466</x:v>
      </x:c>
      <x:c r="F71" s="111" t="n">
        <x:f>'Bengali'!E39</x:f>
        <x:v>0.6073146639634931</x:v>
      </x:c>
      <x:c r="G71" s="111" t="n">
        <x:f>'Bengali'!F39</x:f>
        <x:v>0.633089576737855</x:v>
      </x:c>
    </x:row>
    <x:row r="72" ht="24" customHeight="1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/>
      <x:c r="L72"/>
    </x:row>
    <x:row r="73" ht="24" customHeight="1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/>
      <x:c r="L73"/>
    </x:row>
    <x:row r="74" ht="29" customHeight="1">
      <x:c r="A74" s="67"/>
      <x:c r="B74" s="72" t="str">
        <x:v>TABLE 5.</x:v>
      </x:c>
      <x:c r="C74" s="77" t="str">
        <x:v>Sentiment probability and calibration.</x:v>
      </x:c>
      <x:c r="D74"/>
      <x:c r="E74"/>
      <x:c r="F74"/>
      <x:c r="G74"/>
      <x:c r="H74"/>
      <x:c r="I74" s="67"/>
      <x:c r="J74" s="67"/>
      <x:c r="K74"/>
      <x:c r="L74"/>
    </x:row>
    <x:row r="75" ht="36" customHeight="1">
      <x:c r="A75" s="67"/>
      <x:c r="B75" s="163" t="str">
        <x:v>Türkiye: sentiment_tr, n = 12,760; Indonesian: sentiment, n = 12,760; Bengali: sentiment_bn, n = 12,760</x:v>
      </x:c>
      <x:c r="C75" s="61"/>
      <x:c r="D75" s="61"/>
      <x:c r="E75" s="61"/>
      <x:c r="F75" s="61"/>
      <x:c r="G75" s="61"/>
      <x:c r="H75" s="61"/>
      <x:c r="I75" s="67"/>
      <x:c r="J75" s="67"/>
      <x:c r="K75"/>
      <x:c r="L75"/>
    </x:row>
    <x:row r="76" ht="9" customHeight="1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/>
      <x:c r="L76"/>
    </x:row>
    <x:row r="77" ht="42" customHeight="1">
      <x:c r="A77" s="67"/>
      <x:c r="B77" s="88" t="str">
        <x:v>Country</x:v>
      </x:c>
      <x:c r="C77" s="88" t="str">
        <x:v>Model</x:v>
      </x:c>
      <x:c r="D77" s="90" t="str">
        <x:v>Log Loss</x:v>
      </x:c>
      <x:c r="E77" s="90" t="str">
        <x:v>Multiclass
Brier</x:v>
      </x:c>
      <x:c r="F77" s="90" t="str">
        <x:v>ECE</x:v>
      </x:c>
      <x:c r="G77" s="90" t="str">
        <x:v>Probability
Coverage</x:v>
      </x:c>
      <x:c r="H77" s="90" t="str">
        <x:v>Max. Probability
Sum Error</x:v>
      </x:c>
      <x:c r="I77" s="67"/>
      <x:c r="J77" s="67"/>
      <x:c r="K77"/>
      <x:c r="L77"/>
    </x:row>
    <x:row r="78" ht="24" customHeight="1">
      <x:c r="A78" s="67"/>
      <x:c r="B78" s="92" t="str">
        <x:v>Türkiye</x:v>
      </x:c>
      <x:c r="C78" s="92" t="str">
        <x:v>nimble:9b</x:v>
      </x:c>
      <x:c r="D78" s="97" t="n">
        <x:f>'Turkiye'!C46</x:f>
        <x:v>0.761947937878951</x:v>
      </x:c>
      <x:c r="E78" s="97" t="n">
        <x:f>'Turkiye'!D46</x:f>
        <x:v>0.35801805200552733</x:v>
      </x:c>
      <x:c r="F78" s="97" t="n">
        <x:f>'Turkiye'!E46</x:f>
        <x:v>0.14072258433503737</x:v>
      </x:c>
      <x:c r="G78" s="102" t="n">
        <x:f>'Turkiye'!F46</x:f>
        <x:v>1</x:v>
      </x:c>
      <x:c r="H78" s="120" t="n">
        <x:f>'Turkiye'!G46</x:f>
        <x:v>3.3306690738754696e-16</x:v>
      </x:c>
      <x:c r="I78" s="67"/>
      <x:c r="J78" s="67"/>
      <x:c r="K78"/>
      <x:c r="L78"/>
    </x:row>
    <x:row r="79" ht="24" customHeight="1">
      <x:c r="A79" s="67"/>
      <x:c r="B79" s="92" t="str">
        <x:v>Türkiye</x:v>
      </x:c>
      <x:c r="C79" s="92" t="str">
        <x:v>tev1:0.8b</x:v>
      </x:c>
      <x:c r="D79" s="97" t="n">
        <x:f>'Turkiye'!C47</x:f>
        <x:v>0.677999424567297</x:v>
      </x:c>
      <x:c r="E79" s="97" t="n">
        <x:f>'Turkiye'!D47</x:f>
        <x:v>0.3735212024177501</x:v>
      </x:c>
      <x:c r="F79" s="97" t="n">
        <x:f>'Turkiye'!E47</x:f>
        <x:v>0.06740689185815842</x:v>
      </x:c>
      <x:c r="G79" s="102" t="n">
        <x:f>'Turkiye'!F47</x:f>
        <x:v>1</x:v>
      </x:c>
      <x:c r="H79" s="120" t="n">
        <x:f>'Turkiye'!G47</x:f>
        <x:v>3.3306690738754696e-16</x:v>
      </x:c>
      <x:c r="I79" s="67"/>
      <x:c r="J79" s="67"/>
      <x:c r="K79"/>
      <x:c r="L79"/>
    </x:row>
    <x:row r="80" ht="24" customHeight="1">
      <x:c r="A80" s="67"/>
      <x:c r="B80" s="92" t="str">
        <x:v>Türkiye</x:v>
      </x:c>
      <x:c r="C80" s="92" t="str">
        <x:v>tev1:4b</x:v>
      </x:c>
      <x:c r="D80" s="102" t="n">
        <x:f>'Turkiye'!C48</x:f>
        <x:v>0.5445676041629279</x:v>
      </x:c>
      <x:c r="E80" s="102" t="n">
        <x:f>'Turkiye'!D48</x:f>
        <x:v>0.29825601668910384</x:v>
      </x:c>
      <x:c r="F80" s="102" t="n">
        <x:f>'Turkiye'!E48</x:f>
        <x:v>0.050548261535839564</x:v>
      </x:c>
      <x:c r="G80" s="102" t="n">
        <x:f>'Turkiye'!F48</x:f>
        <x:v>1</x:v>
      </x:c>
      <x:c r="H80" s="120" t="n">
        <x:f>'Turkiye'!G48</x:f>
        <x:v>3.3306690738754696e-16</x:v>
      </x:c>
      <x:c r="I80" s="67"/>
      <x:c r="J80" s="67"/>
      <x:c r="K80"/>
      <x:c r="L80"/>
    </x:row>
    <x:row r="81" ht="24" customHeight="1">
      <x:c r="A81" s="67"/>
      <x:c r="B81" s="92" t="str">
        <x:v>Türkiye</x:v>
      </x:c>
      <x:c r="C81" s="92" t="str">
        <x:v>typesafe/jev-1.13</x:v>
      </x:c>
      <x:c r="D81" s="97" t="n">
        <x:f>'Turkiye'!C49</x:f>
        <x:v>2.1904085598807197</x:v>
      </x:c>
      <x:c r="E81" s="97" t="n">
        <x:f>'Turkiye'!D49</x:f>
        <x:v>0.357801252767055</x:v>
      </x:c>
      <x:c r="F81" s="97" t="n">
        <x:f>'Turkiye'!E49</x:f>
        <x:v>0.14183754472625942</x:v>
      </x:c>
      <x:c r="G81" s="102" t="n">
        <x:f>'Turkiye'!F49</x:f>
        <x:v>1</x:v>
      </x:c>
      <x:c r="H81" s="120" t="n">
        <x:f>'Turkiye'!G49</x:f>
        <x:v>0.010000000000000009</x:v>
      </x:c>
      <x:c r="I81" s="67"/>
      <x:c r="J81" s="67"/>
      <x:c r="K81"/>
      <x:c r="L81"/>
    </x:row>
    <x:row r="82" ht="24" customHeight="1">
      <x:c r="A82" s="67"/>
      <x:c r="B82" s="140" t="str">
        <x:v>Indonesian</x:v>
      </x:c>
      <x:c r="C82" s="140" t="str">
        <x:v>nimble:9b</x:v>
      </x:c>
      <x:c r="D82" s="149" t="n">
        <x:f>'Indonesian'!C46</x:f>
        <x:v>0.3416456214555594</x:v>
      </x:c>
      <x:c r="E82" s="149" t="n">
        <x:f>'Indonesian'!D46</x:f>
        <x:v>0.1719172610928429</x:v>
      </x:c>
      <x:c r="F82" s="144" t="n">
        <x:f>'Indonesian'!E46</x:f>
        <x:v>0.0406686671417556</x:v>
      </x:c>
      <x:c r="G82" s="149" t="n">
        <x:f>'Indonesian'!F46</x:f>
        <x:v>1</x:v>
      </x:c>
      <x:c r="H82" s="153" t="n">
        <x:f>'Indonesian'!G46</x:f>
        <x:v>3.3306690738754696e-16</x:v>
      </x:c>
      <x:c r="I82" s="67"/>
      <x:c r="J82" s="67"/>
      <x:c r="K82"/>
      <x:c r="L82"/>
    </x:row>
    <x:row r="83" ht="24" customHeight="1">
      <x:c r="A83" s="67"/>
      <x:c r="B83" s="92" t="str">
        <x:v>Indonesian</x:v>
      </x:c>
      <x:c r="C83" s="92" t="str">
        <x:v>tev1:0.8b</x:v>
      </x:c>
      <x:c r="D83" s="97" t="n">
        <x:f>'Indonesian'!C47</x:f>
        <x:v>0.5190346811186619</x:v>
      </x:c>
      <x:c r="E83" s="97" t="n">
        <x:f>'Indonesian'!D47</x:f>
        <x:v>0.2822794339585787</x:v>
      </x:c>
      <x:c r="F83" s="97" t="n">
        <x:f>'Indonesian'!E47</x:f>
        <x:v>0.031554809039998</x:v>
      </x:c>
      <x:c r="G83" s="102" t="n">
        <x:f>'Indonesian'!F47</x:f>
        <x:v>1</x:v>
      </x:c>
      <x:c r="H83" s="120" t="n">
        <x:f>'Indonesian'!G47</x:f>
        <x:v>3.3306690738754696e-16</x:v>
      </x:c>
      <x:c r="I83" s="67"/>
      <x:c r="J83" s="67"/>
      <x:c r="K83"/>
      <x:c r="L83"/>
    </x:row>
    <x:row r="84" ht="24" customHeight="1">
      <x:c r="A84" s="67"/>
      <x:c r="B84" s="92" t="str">
        <x:v>Indonesian</x:v>
      </x:c>
      <x:c r="C84" s="92" t="str">
        <x:v>tev1:4b</x:v>
      </x:c>
      <x:c r="D84" s="97" t="n">
        <x:f>'Indonesian'!C48</x:f>
        <x:v>0.3814993821634976</x:v>
      </x:c>
      <x:c r="E84" s="97" t="n">
        <x:f>'Indonesian'!D48</x:f>
        <x:v>0.1946245528866463</x:v>
      </x:c>
      <x:c r="F84" s="102" t="n">
        <x:f>'Indonesian'!E48</x:f>
        <x:v>0.0294906862749584</x:v>
      </x:c>
      <x:c r="G84" s="102" t="n">
        <x:f>'Indonesian'!F48</x:f>
        <x:v>1</x:v>
      </x:c>
      <x:c r="H84" s="120" t="n">
        <x:f>'Indonesian'!G48</x:f>
        <x:v>3.3306690738754696e-16</x:v>
      </x:c>
      <x:c r="I84" s="67"/>
      <x:c r="J84" s="67"/>
      <x:c r="K84"/>
      <x:c r="L84"/>
    </x:row>
    <x:row r="85" ht="24" customHeight="1">
      <x:c r="A85" s="67"/>
      <x:c r="B85" s="107" t="str">
        <x:v>Indonesian</x:v>
      </x:c>
      <x:c r="C85" s="107" t="str">
        <x:v>typesafe/jev-1.13</x:v>
      </x:c>
      <x:c r="D85" s="111" t="n">
        <x:f>'Indonesian'!C49</x:f>
        <x:v>1.0846867415806558</x:v>
      </x:c>
      <x:c r="E85" s="111" t="n">
        <x:f>'Indonesian'!D49</x:f>
        <x:v>0.1745440697657682</x:v>
      </x:c>
      <x:c r="F85" s="111" t="n">
        <x:f>'Indonesian'!E49</x:f>
        <x:v>0.0527478943035369</x:v>
      </x:c>
      <x:c r="G85" s="116" t="n">
        <x:f>'Indonesian'!F49</x:f>
        <x:v>1</x:v>
      </x:c>
      <x:c r="H85" s="124" t="n">
        <x:f>'Indonesian'!G49</x:f>
        <x:v>0.01</x:v>
      </x:c>
      <x:c r="I85" s="67"/>
      <x:c r="J85" s="67"/>
      <x:c r="K85"/>
      <x:c r="L85"/>
    </x:row>
    <x:row r="86" ht="24" customHeight="1">
      <x:c r="B86" s="140" t="str">
        <x:v>Bengali</x:v>
      </x:c>
      <x:c r="C86" s="140" t="str">
        <x:v>nimble:9b</x:v>
      </x:c>
      <x:c r="D86" s="144" t="n">
        <x:f>'Bengali'!C46</x:f>
        <x:v>3.1128815444001225</x:v>
      </x:c>
      <x:c r="E86" s="144" t="n">
        <x:f>'Bengali'!D46</x:f>
        <x:v>1.3229203041553244</x:v>
      </x:c>
      <x:c r="F86" s="144" t="n">
        <x:f>'Bengali'!E46</x:f>
        <x:v>0.6260284505806526</x:v>
      </x:c>
      <x:c r="G86" s="149" t="n">
        <x:f>'Bengali'!F46</x:f>
        <x:v>1</x:v>
      </x:c>
      <x:c r="H86" s="153" t="n">
        <x:f>'Bengali'!G46</x:f>
        <x:v>3.3306690738754696e-16</x:v>
      </x:c>
    </x:row>
    <x:row r="87" ht="24" customHeight="1">
      <x:c r="B87" s="92" t="str">
        <x:v>Bengali</x:v>
      </x:c>
      <x:c r="C87" s="92" t="str">
        <x:v>tev1:0.8b</x:v>
      </x:c>
      <x:c r="D87" s="102" t="n">
        <x:f>'Bengali'!C47</x:f>
        <x:v>1.7564235871168945</x:v>
      </x:c>
      <x:c r="E87" s="102" t="n">
        <x:f>'Bengali'!D47</x:f>
        <x:v>0.9871363184261994</x:v>
      </x:c>
      <x:c r="F87" s="102" t="n">
        <x:f>'Bengali'!E47</x:f>
        <x:v>0.3966904217138918</x:v>
      </x:c>
      <x:c r="G87" s="102" t="n">
        <x:f>'Bengali'!F47</x:f>
        <x:v>1</x:v>
      </x:c>
      <x:c r="H87" s="120" t="n">
        <x:f>'Bengali'!G47</x:f>
        <x:v>2.220446049250313e-16</x:v>
      </x:c>
    </x:row>
    <x:row r="88" ht="24" customHeight="1">
      <x:c r="B88" s="92" t="str">
        <x:v>Bengali</x:v>
      </x:c>
      <x:c r="C88" s="92" t="str">
        <x:v>tev1:4b</x:v>
      </x:c>
      <x:c r="D88" s="97" t="n">
        <x:f>'Bengali'!C48</x:f>
        <x:v>2.1669260454647183</x:v>
      </x:c>
      <x:c r="E88" s="97" t="n">
        <x:f>'Bengali'!D48</x:f>
        <x:v>1.0861883839417967</x:v>
      </x:c>
      <x:c r="F88" s="97" t="n">
        <x:f>'Bengali'!E48</x:f>
        <x:v>0.4640896987700712</x:v>
      </x:c>
      <x:c r="G88" s="102" t="n">
        <x:f>'Bengali'!F48</x:f>
        <x:v>1</x:v>
      </x:c>
      <x:c r="H88" s="120" t="n">
        <x:f>'Bengali'!G48</x:f>
        <x:v>3.3306690738754696e-16</x:v>
      </x:c>
    </x:row>
    <x:row r="89" ht="24" customHeight="1">
      <x:c r="B89" s="107" t="str">
        <x:v>Bengali</x:v>
      </x:c>
      <x:c r="C89" s="107" t="str">
        <x:v>typesafe/jev-1.13</x:v>
      </x:c>
      <x:c r="D89" s="111" t="n">
        <x:f>'Bengali'!C49</x:f>
        <x:v>15.200172657905911</x:v>
      </x:c>
      <x:c r="E89" s="111" t="n">
        <x:f>'Bengali'!D49</x:f>
        <x:v>1.3944278773373837</x:v>
      </x:c>
      <x:c r="F89" s="111" t="n">
        <x:f>'Bengali'!E49</x:f>
        <x:v>0.6644174345334221</x:v>
      </x:c>
      <x:c r="G89" s="116" t="n">
        <x:f>'Bengali'!F49</x:f>
        <x:v>1</x:v>
      </x:c>
      <x:c r="H89" s="124" t="n">
        <x:f>'Bengali'!G49</x:f>
        <x:v>0.010000000000000009</x:v>
      </x:c>
    </x:row>
    <x:row r="90" ht="24" customHeight="1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/>
      <x:c r="L90"/>
    </x:row>
    <x:row r="91" ht="24" customHeight="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/>
      <x:c r="L91"/>
    </x:row>
    <x:row r="92" ht="29" customHeight="1">
      <x:c r="A92" s="67"/>
      <x:c r="B92" s="72" t="str">
        <x:v>TABLE 6.</x:v>
      </x:c>
      <x:c r="C92" s="77" t="str">
        <x:v>Emotion probability and calibration.</x:v>
      </x:c>
      <x:c r="D92"/>
      <x:c r="E92"/>
      <x:c r="F92"/>
      <x:c r="G92"/>
      <x:c r="H92"/>
      <x:c r="I92" s="67"/>
      <x:c r="J92" s="67"/>
      <x:c r="K92"/>
      <x:c r="L92"/>
    </x:row>
    <x:row r="93" ht="36" customHeight="1">
      <x:c r="A93" s="67"/>
      <x:c r="B93" s="163" t="str">
        <x:v>Türkiye: emotion_tr, n = 4,403; Indonesian: emotion, n = 4,403; Bengali: emotion_bn, n = 4,403</x:v>
      </x:c>
      <x:c r="C93" s="61"/>
      <x:c r="D93" s="61"/>
      <x:c r="E93" s="61"/>
      <x:c r="F93" s="61"/>
      <x:c r="G93" s="61"/>
      <x:c r="H93" s="61"/>
      <x:c r="I93" s="67"/>
      <x:c r="J93" s="67"/>
      <x:c r="K93"/>
      <x:c r="L93"/>
    </x:row>
    <x:row r="94" ht="9" customHeight="1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/>
      <x:c r="L94"/>
    </x:row>
    <x:row r="95" ht="42" customHeight="1">
      <x:c r="A95" s="67"/>
      <x:c r="B95" s="88" t="str">
        <x:v>Country</x:v>
      </x:c>
      <x:c r="C95" s="88" t="str">
        <x:v>Model</x:v>
      </x:c>
      <x:c r="D95" s="90" t="str">
        <x:v>Log Loss</x:v>
      </x:c>
      <x:c r="E95" s="90" t="str">
        <x:v>Multiclass
Brier</x:v>
      </x:c>
      <x:c r="F95" s="90" t="str">
        <x:v>ECE</x:v>
      </x:c>
      <x:c r="G95" s="90" t="str">
        <x:v>Probability
Coverage</x:v>
      </x:c>
      <x:c r="H95" s="90" t="str">
        <x:v>Max. Probability
Sum Error</x:v>
      </x:c>
      <x:c r="I95" s="67"/>
      <x:c r="J95" s="67"/>
      <x:c r="K95"/>
      <x:c r="L95"/>
    </x:row>
    <x:row r="96" ht="24" customHeight="1">
      <x:c r="A96" s="67"/>
      <x:c r="B96" s="92" t="str">
        <x:v>Türkiye</x:v>
      </x:c>
      <x:c r="C96" s="92" t="str">
        <x:v>nimble:9b</x:v>
      </x:c>
      <x:c r="D96" s="102" t="n">
        <x:f>'Turkiye'!C56</x:f>
        <x:v>0.9507896767117473</x:v>
      </x:c>
      <x:c r="E96" s="97" t="n">
        <x:f>'Turkiye'!D56</x:f>
        <x:v>0.4219734207484434</x:v>
      </x:c>
      <x:c r="F96" s="97" t="n">
        <x:f>'Turkiye'!E56</x:f>
        <x:v>0.10318372849110821</x:v>
      </x:c>
      <x:c r="G96" s="102" t="n">
        <x:f>'Turkiye'!F56</x:f>
        <x:v>1</x:v>
      </x:c>
      <x:c r="H96" s="120" t="n">
        <x:f>'Turkiye'!G56</x:f>
        <x:v>4.440892098500626e-16</x:v>
      </x:c>
      <x:c r="I96" s="67"/>
      <x:c r="J96" s="67"/>
      <x:c r="K96"/>
      <x:c r="L96"/>
    </x:row>
    <x:row r="97" ht="24" customHeight="1">
      <x:c r="A97" s="67"/>
      <x:c r="B97" s="92" t="str">
        <x:v>Türkiye</x:v>
      </x:c>
      <x:c r="C97" s="92" t="str">
        <x:v>tev1:0.8b</x:v>
      </x:c>
      <x:c r="D97" s="97" t="n">
        <x:f>'Turkiye'!C57</x:f>
        <x:v>1.5970840012993563</x:v>
      </x:c>
      <x:c r="E97" s="97" t="n">
        <x:f>'Turkiye'!D57</x:f>
        <x:v>0.6986414741351405</x:v>
      </x:c>
      <x:c r="F97" s="97" t="n">
        <x:f>'Turkiye'!E57</x:f>
        <x:v>0.14847141535774266</x:v>
      </x:c>
      <x:c r="G97" s="102" t="n">
        <x:f>'Turkiye'!F57</x:f>
        <x:v>1</x:v>
      </x:c>
      <x:c r="H97" s="120" t="n">
        <x:f>'Turkiye'!G57</x:f>
        <x:v>4.440892098500626e-16</x:v>
      </x:c>
      <x:c r="I97" s="67"/>
      <x:c r="J97" s="67"/>
      <x:c r="K97"/>
      <x:c r="L97"/>
    </x:row>
    <x:row r="98" ht="24" customHeight="1">
      <x:c r="A98" s="67"/>
      <x:c r="B98" s="92" t="str">
        <x:v>Türkiye</x:v>
      </x:c>
      <x:c r="C98" s="92" t="str">
        <x:v>tev1:4b</x:v>
      </x:c>
      <x:c r="D98" s="97" t="n">
        <x:f>'Turkiye'!C58</x:f>
        <x:v>1.0292623564712848</x:v>
      </x:c>
      <x:c r="E98" s="97" t="n">
        <x:f>'Turkiye'!D58</x:f>
        <x:v>0.46696022129351156</x:v>
      </x:c>
      <x:c r="F98" s="102" t="n">
        <x:f>'Turkiye'!E58</x:f>
        <x:v>0.08933575718533342</x:v>
      </x:c>
      <x:c r="G98" s="102" t="n">
        <x:f>'Turkiye'!F58</x:f>
        <x:v>1</x:v>
      </x:c>
      <x:c r="H98" s="120" t="n">
        <x:f>'Turkiye'!G58</x:f>
        <x:v>5.551115123125783e-16</x:v>
      </x:c>
      <x:c r="I98" s="67"/>
      <x:c r="J98" s="67"/>
      <x:c r="K98"/>
      <x:c r="L98"/>
    </x:row>
    <x:row r="99" ht="24" customHeight="1">
      <x:c r="A99" s="67"/>
      <x:c r="B99" s="92" t="str">
        <x:v>Türkiye</x:v>
      </x:c>
      <x:c r="C99" s="92" t="str">
        <x:v>typesafe/jev-1.13</x:v>
      </x:c>
      <x:c r="D99" s="97" t="n">
        <x:f>'Turkiye'!C59</x:f>
        <x:v>2.391091743520766</x:v>
      </x:c>
      <x:c r="E99" s="102" t="n">
        <x:f>'Turkiye'!D59</x:f>
        <x:v>0.36920664646404394</x:v>
      </x:c>
      <x:c r="F99" s="97" t="n">
        <x:f>'Turkiye'!E59</x:f>
        <x:v>0.11837000484059311</x:v>
      </x:c>
      <x:c r="G99" s="102" t="n">
        <x:f>'Turkiye'!F59</x:f>
        <x:v>1</x:v>
      </x:c>
      <x:c r="H99" s="120" t="n">
        <x:f>'Turkiye'!G59</x:f>
        <x:v>0.010000000000000009</x:v>
      </x:c>
      <x:c r="I99" s="67"/>
      <x:c r="J99" s="67"/>
      <x:c r="K99"/>
      <x:c r="L99"/>
    </x:row>
    <x:row r="100" ht="24" customHeight="1">
      <x:c r="A100" s="67"/>
      <x:c r="B100" s="140" t="str">
        <x:v>Indonesian</x:v>
      </x:c>
      <x:c r="C100" s="140" t="str">
        <x:v>nimble:9b</x:v>
      </x:c>
      <x:c r="D100" s="144" t="n">
        <x:f>'Indonesian'!C56</x:f>
        <x:v>0.7410191531631566</x:v>
      </x:c>
      <x:c r="E100" s="144" t="n">
        <x:f>'Indonesian'!D56</x:f>
        <x:v>0.379273352247172</x:v>
      </x:c>
      <x:c r="F100" s="144" t="n">
        <x:f>'Indonesian'!E56</x:f>
        <x:v>0.0919652922324913</x:v>
      </x:c>
      <x:c r="G100" s="149" t="n">
        <x:f>'Indonesian'!F56</x:f>
        <x:v>1</x:v>
      </x:c>
      <x:c r="H100" s="153" t="n">
        <x:f>'Indonesian'!G56</x:f>
        <x:v>5.551115123125784e-16</x:v>
      </x:c>
      <x:c r="I100" s="67"/>
      <x:c r="J100" s="67"/>
      <x:c r="K100"/>
      <x:c r="L100"/>
    </x:row>
    <x:row r="101" ht="24" customHeight="1">
      <x:c r="A101" s="67"/>
      <x:c r="B101" s="92" t="str">
        <x:v>Indonesian</x:v>
      </x:c>
      <x:c r="C101" s="92" t="str">
        <x:v>tev1:0.8b</x:v>
      </x:c>
      <x:c r="D101" s="97" t="n">
        <x:f>'Indonesian'!C57</x:f>
        <x:v>1.081502729398362</x:v>
      </x:c>
      <x:c r="E101" s="97" t="n">
        <x:f>'Indonesian'!D57</x:f>
        <x:v>0.5363820669006808</x:v>
      </x:c>
      <x:c r="F101" s="97" t="n">
        <x:f>'Indonesian'!E57</x:f>
        <x:v>0.1007677450720603</x:v>
      </x:c>
      <x:c r="G101" s="102" t="n">
        <x:f>'Indonesian'!F57</x:f>
        <x:v>1</x:v>
      </x:c>
      <x:c r="H101" s="120" t="n">
        <x:f>'Indonesian'!G57</x:f>
        <x:v>4.440892098500626e-16</x:v>
      </x:c>
      <x:c r="I101" s="67"/>
      <x:c r="J101" s="67"/>
      <x:c r="K101"/>
      <x:c r="L101"/>
    </x:row>
    <x:row r="102" ht="24" customHeight="1">
      <x:c r="A102" s="67"/>
      <x:c r="B102" s="92" t="str">
        <x:v>Indonesian</x:v>
      </x:c>
      <x:c r="C102" s="92" t="str">
        <x:v>tev1:4b</x:v>
      </x:c>
      <x:c r="D102" s="102" t="n">
        <x:f>'Indonesian'!C58</x:f>
        <x:v>0.7038217094989112</x:v>
      </x:c>
      <x:c r="E102" s="97" t="n">
        <x:f>'Indonesian'!D58</x:f>
        <x:v>0.3662788747870136</x:v>
      </x:c>
      <x:c r="F102" s="102" t="n">
        <x:f>'Indonesian'!E58</x:f>
        <x:v>0.024643722369057</x:v>
      </x:c>
      <x:c r="G102" s="102" t="n">
        <x:f>'Indonesian'!F58</x:f>
        <x:v>1</x:v>
      </x:c>
      <x:c r="H102" s="120" t="n">
        <x:f>'Indonesian'!G58</x:f>
        <x:v>4.440892098500626e-16</x:v>
      </x:c>
      <x:c r="I102" s="67"/>
      <x:c r="J102" s="67"/>
      <x:c r="K102"/>
      <x:c r="L102"/>
    </x:row>
    <x:row r="103" ht="24" customHeight="1">
      <x:c r="A103" s="67"/>
      <x:c r="B103" s="107" t="str">
        <x:v>Indonesian</x:v>
      </x:c>
      <x:c r="C103" s="107" t="str">
        <x:v>typesafe/jev-1.13</x:v>
      </x:c>
      <x:c r="D103" s="111" t="n">
        <x:f>'Indonesian'!C59</x:f>
        <x:v>1.348328070852659</x:v>
      </x:c>
      <x:c r="E103" s="116" t="n">
        <x:f>'Indonesian'!D59</x:f>
        <x:v>0.328234378087141</x:v>
      </x:c>
      <x:c r="F103" s="111" t="n">
        <x:f>'Indonesian'!E59</x:f>
        <x:v>0.0871788289435348</x:v>
      </x:c>
      <x:c r="G103" s="116" t="n">
        <x:f>'Indonesian'!F59</x:f>
        <x:v>1</x:v>
      </x:c>
      <x:c r="H103" s="124" t="n">
        <x:f>'Indonesian'!G59</x:f>
        <x:v>0.01</x:v>
      </x:c>
      <x:c r="I103" s="67"/>
      <x:c r="J103" s="67"/>
      <x:c r="K103"/>
      <x:c r="L103"/>
    </x:row>
    <x:row r="104" ht="24" customHeight="1">
      <x:c r="B104" s="140" t="str">
        <x:v>Bengali</x:v>
      </x:c>
      <x:c r="C104" s="140" t="str">
        <x:v>nimble:9b</x:v>
      </x:c>
      <x:c r="D104" s="144" t="n">
        <x:f>'Bengali'!C56</x:f>
        <x:v>1.173290375458422</x:v>
      </x:c>
      <x:c r="E104" s="144" t="n">
        <x:f>'Bengali'!D56</x:f>
        <x:v>0.5628419837405725</x:v>
      </x:c>
      <x:c r="F104" s="144" t="n">
        <x:f>'Bengali'!E56</x:f>
        <x:v>0.16338678213083507</x:v>
      </x:c>
      <x:c r="G104" s="149" t="n">
        <x:f>'Bengali'!F56</x:f>
        <x:v>1</x:v>
      </x:c>
      <x:c r="H104" s="153" t="n">
        <x:f>'Bengali'!G56</x:f>
        <x:v>4.440892098500626e-16</x:v>
      </x:c>
    </x:row>
    <x:row r="105" ht="24" customHeight="1">
      <x:c r="B105" s="92" t="str">
        <x:v>Bengali</x:v>
      </x:c>
      <x:c r="C105" s="92" t="str">
        <x:v>tev1:0.8b</x:v>
      </x:c>
      <x:c r="D105" s="97" t="n">
        <x:f>'Bengali'!C57</x:f>
        <x:v>1.5842246701980576</x:v>
      </x:c>
      <x:c r="E105" s="97" t="n">
        <x:f>'Bengali'!D57</x:f>
        <x:v>0.7322137791499302</x:v>
      </x:c>
      <x:c r="F105" s="97" t="n">
        <x:f>'Bengali'!E57</x:f>
        <x:v>0.1397870834224988</x:v>
      </x:c>
      <x:c r="G105" s="102" t="n">
        <x:f>'Bengali'!F57</x:f>
        <x:v>1</x:v>
      </x:c>
      <x:c r="H105" s="120" t="n">
        <x:f>'Bengali'!G57</x:f>
        <x:v>4.440892098500626e-16</x:v>
      </x:c>
    </x:row>
    <x:row r="106" ht="24" customHeight="1">
      <x:c r="B106" s="92" t="str">
        <x:v>Bengali</x:v>
      </x:c>
      <x:c r="C106" s="92" t="str">
        <x:v>tev1:4b</x:v>
      </x:c>
      <x:c r="D106" s="102" t="n">
        <x:f>'Bengali'!C58</x:f>
        <x:v>1.071730233270532</x:v>
      </x:c>
      <x:c r="E106" s="97" t="n">
        <x:f>'Bengali'!D58</x:f>
        <x:v>0.5306817612903335</x:v>
      </x:c>
      <x:c r="F106" s="102" t="n">
        <x:f>'Bengali'!E58</x:f>
        <x:v>0.06458125417902771</x:v>
      </x:c>
      <x:c r="G106" s="102" t="n">
        <x:f>'Bengali'!F58</x:f>
        <x:v>1</x:v>
      </x:c>
      <x:c r="H106" s="120" t="n">
        <x:f>'Bengali'!G58</x:f>
        <x:v>4.440892098500626e-16</x:v>
      </x:c>
    </x:row>
    <x:row r="107" ht="24" customHeight="1">
      <x:c r="B107" s="107" t="str">
        <x:v>Bengali</x:v>
      </x:c>
      <x:c r="C107" s="107" t="str">
        <x:v>typesafe/jev-1.13</x:v>
      </x:c>
      <x:c r="D107" s="111" t="n">
        <x:f>'Bengali'!C59</x:f>
        <x:v>2.746900914894296</x:v>
      </x:c>
      <x:c r="E107" s="116" t="n">
        <x:f>'Bengali'!D59</x:f>
        <x:v>0.5164786414073402</x:v>
      </x:c>
      <x:c r="F107" s="111" t="n">
        <x:f>'Bengali'!E59</x:f>
        <x:v>0.18187803540744718</x:v>
      </x:c>
      <x:c r="G107" s="116" t="n">
        <x:f>'Bengali'!F59</x:f>
        <x:v>1</x:v>
      </x:c>
      <x:c r="H107" s="124" t="n">
        <x:f>'Bengali'!G59</x:f>
        <x:v>0.010000000000000009</x:v>
      </x:c>
    </x:row>
    <x:row r="108" ht="24" customHeight="1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/>
      <x:c r="L108"/>
    </x:row>
    <x:row r="109" ht="24" customHeight="1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/>
      <x:c r="L109"/>
    </x:row>
    <x:row r="110" ht="29" customHeight="1">
      <x:c r="A110" s="67"/>
      <x:c r="B110" s="72" t="str">
        <x:v>TABLE 7.</x:v>
      </x:c>
      <x:c r="C110" s="77" t="str">
        <x:v>Sentiment latency (ms).</x:v>
      </x:c>
      <x:c r="D110"/>
      <x:c r="E110"/>
      <x:c r="F110"/>
      <x:c r="G110" s="67"/>
      <x:c r="H110" s="67"/>
      <x:c r="I110" s="67"/>
      <x:c r="J110" s="67"/>
      <x:c r="K110"/>
      <x:c r="L110"/>
    </x:row>
    <x:row r="111" ht="36" customHeight="1">
      <x:c r="A111" s="67"/>
      <x:c r="B111" s="163" t="str">
        <x:v>Türkiye: sentiment_tr, n = 12,760; Indonesian: sentiment, n = 12,760; Bengali: sentiment_bn, n = 12,760</x:v>
      </x:c>
      <x:c r="C111" s="61"/>
      <x:c r="D111" s="61"/>
      <x:c r="E111" s="61"/>
      <x:c r="F111" s="61"/>
      <x:c r="G111" s="67"/>
      <x:c r="H111" s="67"/>
      <x:c r="I111" s="67"/>
      <x:c r="J111" s="67"/>
      <x:c r="K111"/>
      <x:c r="L111"/>
    </x:row>
    <x:row r="112" ht="9" customHeight="1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/>
      <x:c r="L112"/>
    </x:row>
    <x:row r="113" ht="42" customHeight="1">
      <x:c r="A113" s="67"/>
      <x:c r="B113" s="88" t="str">
        <x:v>Country</x:v>
      </x:c>
      <x:c r="C113" s="88" t="str">
        <x:v>Model</x:v>
      </x:c>
      <x:c r="D113" s="90" t="str">
        <x:v>Mean (ms)</x:v>
      </x:c>
      <x:c r="E113" s="90" t="str">
        <x:v>P50 (ms)</x:v>
      </x:c>
      <x:c r="F113" s="90" t="str">
        <x:v>P95 (ms)</x:v>
      </x:c>
      <x:c r="G113" s="67"/>
      <x:c r="H113" s="67"/>
      <x:c r="I113" s="67"/>
      <x:c r="J113" s="67"/>
      <x:c r="K113"/>
      <x:c r="L113"/>
    </x:row>
    <x:row r="114" ht="24" customHeight="1">
      <x:c r="A114" s="67"/>
      <x:c r="B114" s="92" t="str">
        <x:v>Türkiye</x:v>
      </x:c>
      <x:c r="C114" s="92" t="str">
        <x:v>nimble:9b</x:v>
      </x:c>
      <x:c r="D114" s="97" t="n">
        <x:f>'Turkiye'!C66</x:f>
        <x:v>714.0460503134797</x:v>
      </x:c>
      <x:c r="E114" s="97" t="n">
        <x:f>'Turkiye'!D66</x:f>
        <x:v>690.2565</x:v>
      </x:c>
      <x:c r="F114" s="97" t="n">
        <x:f>'Turkiye'!E66</x:f>
        <x:v>772.8776999999999</x:v>
      </x:c>
      <x:c r="G114" s="67"/>
      <x:c r="H114" s="67"/>
      <x:c r="I114" s="67"/>
      <x:c r="J114" s="67"/>
      <x:c r="K114"/>
      <x:c r="L114"/>
    </x:row>
    <x:row r="115" ht="24" customHeight="1">
      <x:c r="A115" s="67"/>
      <x:c r="B115" s="92" t="str">
        <x:v>Türkiye</x:v>
      </x:c>
      <x:c r="C115" s="92" t="str">
        <x:v>tev1:0.8b</x:v>
      </x:c>
      <x:c r="D115" s="97" t="n">
        <x:f>'Turkiye'!C67</x:f>
        <x:v>553.0313459247649</x:v>
      </x:c>
      <x:c r="E115" s="97" t="n">
        <x:f>'Turkiye'!D67</x:f>
        <x:v>540.8005</x:v>
      </x:c>
      <x:c r="F115" s="97" t="n">
        <x:f>'Turkiye'!E67</x:f>
        <x:v>610.9250499999999</x:v>
      </x:c>
      <x:c r="G115" s="67"/>
      <x:c r="H115" s="67"/>
      <x:c r="I115" s="67"/>
      <x:c r="J115" s="67"/>
      <x:c r="K115"/>
      <x:c r="L115"/>
    </x:row>
    <x:row r="116" ht="24" customHeight="1">
      <x:c r="A116" s="67"/>
      <x:c r="B116" s="92" t="str">
        <x:v>Türkiye</x:v>
      </x:c>
      <x:c r="C116" s="92" t="str">
        <x:v>tev1:4b</x:v>
      </x:c>
      <x:c r="D116" s="97" t="n">
        <x:f>'Turkiye'!C68</x:f>
        <x:v>765.7739284482758</x:v>
      </x:c>
      <x:c r="E116" s="97" t="n">
        <x:f>'Turkiye'!D68</x:f>
        <x:v>771.3335</x:v>
      </x:c>
      <x:c r="F116" s="97" t="n">
        <x:f>'Turkiye'!E68</x:f>
        <x:v>861.1093999999999</x:v>
      </x:c>
      <x:c r="G116" s="67"/>
      <x:c r="H116" s="67"/>
      <x:c r="I116" s="67"/>
      <x:c r="J116" s="67"/>
      <x:c r="K116"/>
      <x:c r="L116"/>
    </x:row>
    <x:row r="117" ht="24" customHeight="1">
      <x:c r="A117" s="67"/>
      <x:c r="B117" s="92" t="str">
        <x:v>Türkiye</x:v>
      </x:c>
      <x:c r="C117" s="92" t="str">
        <x:v>typesafe/jev-1.13</x:v>
      </x:c>
      <x:c r="D117" s="102" t="n">
        <x:f>'Turkiye'!C69</x:f>
        <x:v>289.2779961598746</x:v>
      </x:c>
      <x:c r="E117" s="102" t="n">
        <x:f>'Turkiye'!D69</x:f>
        <x:v>277.155</x:v>
      </x:c>
      <x:c r="F117" s="102" t="n">
        <x:f>'Turkiye'!E69</x:f>
        <x:v>372.76619999999997</x:v>
      </x:c>
      <x:c r="G117" s="67"/>
      <x:c r="H117" s="67"/>
      <x:c r="I117" s="67"/>
      <x:c r="J117" s="67"/>
      <x:c r="K117"/>
      <x:c r="L117"/>
    </x:row>
    <x:row r="118" ht="24" customHeight="1">
      <x:c r="A118" s="67"/>
      <x:c r="B118" s="140" t="str">
        <x:v>Indonesian</x:v>
      </x:c>
      <x:c r="C118" s="140" t="str">
        <x:v>nimble:9b</x:v>
      </x:c>
      <x:c r="D118" s="144" t="n">
        <x:f>'Indonesian'!C66</x:f>
        <x:v>960.338751567398</x:v>
      </x:c>
      <x:c r="E118" s="144" t="n">
        <x:f>'Indonesian'!D66</x:f>
        <x:v>1030.395</x:v>
      </x:c>
      <x:c r="F118" s="144" t="n">
        <x:f>'Indonesian'!E66</x:f>
        <x:v>1089.15415</x:v>
      </x:c>
      <x:c r="G118" s="67"/>
      <x:c r="H118" s="67"/>
      <x:c r="I118" s="67"/>
      <x:c r="J118" s="67"/>
      <x:c r="K118"/>
      <x:c r="L118"/>
    </x:row>
    <x:row r="119" ht="24" customHeight="1">
      <x:c r="A119" s="67"/>
      <x:c r="B119" s="92" t="str">
        <x:v>Indonesian</x:v>
      </x:c>
      <x:c r="C119" s="92" t="str">
        <x:v>tev1:0.8b</x:v>
      </x:c>
      <x:c r="D119" s="97" t="n">
        <x:f>'Indonesian'!C67</x:f>
        <x:v>811.8424963166143</x:v>
      </x:c>
      <x:c r="E119" s="97" t="n">
        <x:f>'Indonesian'!D67</x:f>
        <x:v>775.0685</x:v>
      </x:c>
      <x:c r="F119" s="97" t="n">
        <x:f>'Indonesian'!E67</x:f>
        <x:v>1036.2134</x:v>
      </x:c>
      <x:c r="G119" s="67"/>
      <x:c r="H119" s="67"/>
      <x:c r="I119" s="67"/>
      <x:c r="J119" s="67"/>
      <x:c r="K119"/>
      <x:c r="L119"/>
    </x:row>
    <x:row r="120" ht="24" customHeight="1">
      <x:c r="A120" s="67"/>
      <x:c r="B120" s="92" t="str">
        <x:v>Indonesian</x:v>
      </x:c>
      <x:c r="C120" s="92" t="str">
        <x:v>tev1:4b</x:v>
      </x:c>
      <x:c r="D120" s="97" t="n">
        <x:f>'Indonesian'!C68</x:f>
        <x:v>914.9546428683386</x:v>
      </x:c>
      <x:c r="E120" s="97" t="n">
        <x:f>'Indonesian'!D68</x:f>
        <x:v>824.1575</x:v>
      </x:c>
      <x:c r="F120" s="97" t="n">
        <x:f>'Indonesian'!E68</x:f>
        <x:v>1090.98415</x:v>
      </x:c>
      <x:c r="G120" s="67"/>
      <x:c r="H120" s="67"/>
      <x:c r="I120" s="67"/>
      <x:c r="J120" s="67"/>
      <x:c r="K120"/>
      <x:c r="L120"/>
    </x:row>
    <x:row r="121" ht="24" customHeight="1">
      <x:c r="A121" s="67"/>
      <x:c r="B121" s="107" t="str">
        <x:v>Indonesian</x:v>
      </x:c>
      <x:c r="C121" s="107" t="str">
        <x:v>typesafe/jev-1.13</x:v>
      </x:c>
      <x:c r="D121" s="116" t="n">
        <x:f>'Indonesian'!C69</x:f>
        <x:v>303.2676910658307</x:v>
      </x:c>
      <x:c r="E121" s="116" t="n">
        <x:f>'Indonesian'!D69</x:f>
        <x:v>293.2345</x:v>
      </x:c>
      <x:c r="F121" s="116" t="n">
        <x:f>'Indonesian'!E69</x:f>
        <x:v>379.4425499999999</x:v>
      </x:c>
      <x:c r="G121" s="67"/>
      <x:c r="H121" s="67"/>
      <x:c r="I121" s="67"/>
      <x:c r="J121" s="67"/>
      <x:c r="K121"/>
      <x:c r="L121"/>
    </x:row>
    <x:row r="122" ht="24" customHeight="1">
      <x:c r="B122" s="140" t="str">
        <x:v>Bengali</x:v>
      </x:c>
      <x:c r="C122" s="140" t="str">
        <x:v>nimble:9b</x:v>
      </x:c>
      <x:c r="D122" s="144" t="n">
        <x:f>'Bengali'!C66</x:f>
        <x:v>713.6461011755486</x:v>
      </x:c>
      <x:c r="E122" s="144" t="n">
        <x:f>'Bengali'!D66</x:f>
        <x:v>701.4555</x:v>
      </x:c>
      <x:c r="F122" s="144" t="n">
        <x:f>'Bengali'!E66</x:f>
        <x:v>782.1456</x:v>
      </x:c>
    </x:row>
    <x:row r="123" ht="24" customHeight="1">
      <x:c r="B123" s="92" t="str">
        <x:v>Bengali</x:v>
      </x:c>
      <x:c r="C123" s="92" t="str">
        <x:v>tev1:0.8b</x:v>
      </x:c>
      <x:c r="D123" s="97" t="n">
        <x:f>'Bengali'!C67</x:f>
        <x:v>555.8784940438871</x:v>
      </x:c>
      <x:c r="E123" s="97" t="n">
        <x:f>'Bengali'!D67</x:f>
        <x:v>539.7715000000001</x:v>
      </x:c>
      <x:c r="F123" s="97" t="n">
        <x:f>'Bengali'!E67</x:f>
        <x:v>630.9798</x:v>
      </x:c>
    </x:row>
    <x:row r="124" ht="24" customHeight="1">
      <x:c r="B124" s="92" t="str">
        <x:v>Bengali</x:v>
      </x:c>
      <x:c r="C124" s="92" t="str">
        <x:v>tev1:4b</x:v>
      </x:c>
      <x:c r="D124" s="97" t="n">
        <x:f>'Bengali'!C68</x:f>
        <x:v>689.6909279780563</x:v>
      </x:c>
      <x:c r="E124" s="97" t="n">
        <x:f>'Bengali'!D68</x:f>
        <x:v>657.182</x:v>
      </x:c>
      <x:c r="F124" s="97" t="n">
        <x:f>'Bengali'!E68</x:f>
        <x:v>797.257</x:v>
      </x:c>
    </x:row>
    <x:row r="125" ht="24" customHeight="1">
      <x:c r="B125" s="107" t="str">
        <x:v>Bengali</x:v>
      </x:c>
      <x:c r="C125" s="107" t="str">
        <x:v>typesafe/jev-1.13</x:v>
      </x:c>
      <x:c r="D125" s="116" t="n">
        <x:f>'Bengali'!C69</x:f>
        <x:v>294.6057079153605</x:v>
      </x:c>
      <x:c r="E125" s="116" t="n">
        <x:f>'Bengali'!D69</x:f>
        <x:v>276.82950000000005</x:v>
      </x:c>
      <x:c r="F125" s="116" t="n">
        <x:f>'Bengali'!E69</x:f>
        <x:v>386.12374999999975</x:v>
      </x:c>
    </x:row>
    <x:row r="126" ht="24" customHeight="1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/>
      <x:c r="L126"/>
    </x:row>
    <x:row r="127" ht="24" customHeight="1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/>
      <x:c r="L127"/>
    </x:row>
    <x:row r="128" ht="29" customHeight="1">
      <x:c r="A128" s="67"/>
      <x:c r="B128" s="72" t="str">
        <x:v>TABLE 8.</x:v>
      </x:c>
      <x:c r="C128" s="77" t="str">
        <x:v>Emotion latency (ms).</x:v>
      </x:c>
      <x:c r="D128"/>
      <x:c r="E128"/>
      <x:c r="F128"/>
      <x:c r="G128" s="67"/>
      <x:c r="H128" s="67"/>
      <x:c r="I128" s="67"/>
      <x:c r="J128" s="67"/>
      <x:c r="K128"/>
      <x:c r="L128"/>
    </x:row>
    <x:row r="129" ht="36" customHeight="1">
      <x:c r="A129" s="67"/>
      <x:c r="B129" s="163" t="str">
        <x:v>Türkiye: emotion_tr, n = 4,403; Indonesian: emotion, n = 4,403; Bengali: emotion_bn, n = 4,403</x:v>
      </x:c>
      <x:c r="C129" s="61"/>
      <x:c r="D129" s="61"/>
      <x:c r="E129" s="61"/>
      <x:c r="F129" s="61"/>
      <x:c r="G129" s="67"/>
      <x:c r="H129" s="67"/>
      <x:c r="I129" s="67"/>
      <x:c r="J129" s="67"/>
      <x:c r="K129"/>
      <x:c r="L129"/>
    </x:row>
    <x:row r="130" ht="9" customHeight="1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/>
      <x:c r="L130"/>
    </x:row>
    <x:row r="131" ht="42" customHeight="1">
      <x:c r="A131" s="67"/>
      <x:c r="B131" s="88" t="str">
        <x:v>Country</x:v>
      </x:c>
      <x:c r="C131" s="88" t="str">
        <x:v>Model</x:v>
      </x:c>
      <x:c r="D131" s="90" t="str">
        <x:v>Mean (ms)</x:v>
      </x:c>
      <x:c r="E131" s="90" t="str">
        <x:v>P50 (ms)</x:v>
      </x:c>
      <x:c r="F131" s="90" t="str">
        <x:v>P95 (ms)</x:v>
      </x:c>
      <x:c r="G131" s="67"/>
      <x:c r="H131" s="67"/>
      <x:c r="I131" s="67"/>
      <x:c r="J131" s="67"/>
      <x:c r="K131"/>
      <x:c r="L131"/>
    </x:row>
    <x:row r="132" ht="24" customHeight="1">
      <x:c r="A132" s="67"/>
      <x:c r="B132" s="92" t="str">
        <x:v>Türkiye</x:v>
      </x:c>
      <x:c r="C132" s="92" t="str">
        <x:v>nimble:9b</x:v>
      </x:c>
      <x:c r="D132" s="97" t="n">
        <x:f>'Turkiye'!C76</x:f>
        <x:v>760.0553765614353</x:v>
      </x:c>
      <x:c r="E132" s="97" t="n">
        <x:f>'Turkiye'!D76</x:f>
        <x:v>741.531</x:v>
      </x:c>
      <x:c r="F132" s="97" t="n">
        <x:f>'Turkiye'!E76</x:f>
        <x:v>867.1234</x:v>
      </x:c>
      <x:c r="G132" s="67"/>
      <x:c r="H132" s="67"/>
      <x:c r="I132" s="67"/>
      <x:c r="J132" s="67"/>
      <x:c r="K132"/>
      <x:c r="L132"/>
    </x:row>
    <x:row r="133" ht="24" customHeight="1">
      <x:c r="A133" s="67"/>
      <x:c r="B133" s="92" t="str">
        <x:v>Türkiye</x:v>
      </x:c>
      <x:c r="C133" s="92" t="str">
        <x:v>tev1:0.8b</x:v>
      </x:c>
      <x:c r="D133" s="97" t="n">
        <x:f>'Turkiye'!C77</x:f>
        <x:v>793.3999722916193</x:v>
      </x:c>
      <x:c r="E133" s="97" t="n">
        <x:f>'Turkiye'!D77</x:f>
        <x:v>867.453</x:v>
      </x:c>
      <x:c r="F133" s="97" t="n">
        <x:f>'Turkiye'!E77</x:f>
        <x:v>882.1109</x:v>
      </x:c>
      <x:c r="G133" s="67"/>
      <x:c r="H133" s="67"/>
      <x:c r="I133" s="67"/>
      <x:c r="J133" s="67"/>
      <x:c r="K133"/>
      <x:c r="L133"/>
    </x:row>
    <x:row r="134" ht="24" customHeight="1">
      <x:c r="A134" s="67"/>
      <x:c r="B134" s="92" t="str">
        <x:v>Türkiye</x:v>
      </x:c>
      <x:c r="C134" s="92" t="str">
        <x:v>tev1:4b</x:v>
      </x:c>
      <x:c r="D134" s="97" t="n">
        <x:f>'Turkiye'!C78</x:f>
        <x:v>765.0517397229162</x:v>
      </x:c>
      <x:c r="E134" s="97" t="n">
        <x:f>'Turkiye'!D78</x:f>
        <x:v>734.884</x:v>
      </x:c>
      <x:c r="F134" s="97" t="n">
        <x:f>'Turkiye'!E78</x:f>
        <x:v>879.7139999999999</x:v>
      </x:c>
      <x:c r="G134" s="67"/>
      <x:c r="H134" s="67"/>
      <x:c r="I134" s="67"/>
      <x:c r="J134" s="67"/>
      <x:c r="K134"/>
      <x:c r="L134"/>
    </x:row>
    <x:row r="135" ht="24" customHeight="1">
      <x:c r="A135" s="67"/>
      <x:c r="B135" s="92" t="str">
        <x:v>Türkiye</x:v>
      </x:c>
      <x:c r="C135" s="92" t="str">
        <x:v>typesafe/jev-1.13</x:v>
      </x:c>
      <x:c r="D135" s="102" t="n">
        <x:f>'Turkiye'!C79</x:f>
        <x:v>290.742994549171</x:v>
      </x:c>
      <x:c r="E135" s="102" t="n">
        <x:f>'Turkiye'!D79</x:f>
        <x:v>280.399</x:v>
      </x:c>
      <x:c r="F135" s="102" t="n">
        <x:f>'Turkiye'!E79</x:f>
        <x:v>357.44719999999995</x:v>
      </x:c>
      <x:c r="G135" s="67"/>
      <x:c r="H135" s="67"/>
      <x:c r="I135" s="67"/>
      <x:c r="J135" s="67"/>
      <x:c r="K135"/>
      <x:c r="L135"/>
    </x:row>
    <x:row r="136" ht="24" customHeight="1">
      <x:c r="A136" s="67"/>
      <x:c r="B136" s="140" t="str">
        <x:v>Indonesian</x:v>
      </x:c>
      <x:c r="C136" s="140" t="str">
        <x:v>nimble:9b</x:v>
      </x:c>
      <x:c r="D136" s="144" t="n">
        <x:f>'Indonesian'!C76</x:f>
        <x:v>1025.9692500567792</x:v>
      </x:c>
      <x:c r="E136" s="144" t="n">
        <x:f>'Indonesian'!D76</x:f>
        <x:v>1038.798</x:v>
      </x:c>
      <x:c r="F136" s="144" t="n">
        <x:f>'Indonesian'!E76</x:f>
        <x:v>1203.1157999999998</x:v>
      </x:c>
      <x:c r="G136" s="67"/>
      <x:c r="H136" s="67"/>
      <x:c r="I136" s="67"/>
      <x:c r="J136" s="67"/>
      <x:c r="K136"/>
      <x:c r="L136"/>
    </x:row>
    <x:row r="137" ht="24" customHeight="1">
      <x:c r="A137" s="67"/>
      <x:c r="B137" s="92" t="str">
        <x:v>Indonesian</x:v>
      </x:c>
      <x:c r="C137" s="92" t="str">
        <x:v>tev1:0.8b</x:v>
      </x:c>
      <x:c r="D137" s="97" t="n">
        <x:f>'Indonesian'!C77</x:f>
        <x:v>818.7358005905064</x:v>
      </x:c>
      <x:c r="E137" s="97" t="n">
        <x:f>'Indonesian'!D77</x:f>
        <x:v>777.531</x:v>
      </x:c>
      <x:c r="F137" s="97" t="n">
        <x:f>'Indonesian'!E77</x:f>
        <x:v>1042.4292999999998</x:v>
      </x:c>
      <x:c r="G137" s="67"/>
      <x:c r="H137" s="67"/>
      <x:c r="I137" s="67"/>
      <x:c r="J137" s="67"/>
      <x:c r="K137"/>
      <x:c r="L137"/>
    </x:row>
    <x:row r="138" ht="24" customHeight="1">
      <x:c r="A138" s="67"/>
      <x:c r="B138" s="92" t="str">
        <x:v>Indonesian</x:v>
      </x:c>
      <x:c r="C138" s="92" t="str">
        <x:v>tev1:4b</x:v>
      </x:c>
      <x:c r="D138" s="97" t="n">
        <x:f>'Indonesian'!C78</x:f>
        <x:v>931.5117242789008</x:v>
      </x:c>
      <x:c r="E138" s="97" t="n">
        <x:f>'Indonesian'!D78</x:f>
        <x:v>1030.905</x:v>
      </x:c>
      <x:c r="F138" s="97" t="n">
        <x:f>'Indonesian'!E78</x:f>
        <x:v>1091.8321</x:v>
      </x:c>
      <x:c r="G138" s="67"/>
      <x:c r="H138" s="67"/>
      <x:c r="I138" s="67"/>
      <x:c r="J138" s="67"/>
      <x:c r="K138"/>
      <x:c r="L138"/>
    </x:row>
    <x:row r="139" ht="24" customHeight="1">
      <x:c r="A139" s="67"/>
      <x:c r="B139" s="107" t="str">
        <x:v>Indonesian</x:v>
      </x:c>
      <x:c r="C139" s="107" t="str">
        <x:v>typesafe/jev-1.13</x:v>
      </x:c>
      <x:c r="D139" s="116" t="n">
        <x:f>'Indonesian'!C79</x:f>
        <x:v>305.12491165114693</x:v>
      </x:c>
      <x:c r="E139" s="116" t="n">
        <x:f>'Indonesian'!D79</x:f>
        <x:v>291.327</x:v>
      </x:c>
      <x:c r="F139" s="116" t="n">
        <x:f>'Indonesian'!E79</x:f>
        <x:v>397.1694999999999</x:v>
      </x:c>
      <x:c r="G139" s="67"/>
      <x:c r="H139" s="67"/>
      <x:c r="I139" s="67"/>
      <x:c r="J139" s="67"/>
      <x:c r="K139"/>
      <x:c r="L139"/>
    </x:row>
    <x:row r="140" ht="24" customHeight="1">
      <x:c r="B140" s="140" t="str">
        <x:v>Bengali</x:v>
      </x:c>
      <x:c r="C140" s="140" t="str">
        <x:v>nimble:9b</x:v>
      </x:c>
      <x:c r="D140" s="144" t="n">
        <x:f>'Bengali'!C76</x:f>
        <x:v>759.285373608903</x:v>
      </x:c>
      <x:c r="E140" s="144" t="n">
        <x:f>'Bengali'!D76</x:f>
        <x:v>738.001</x:v>
      </x:c>
      <x:c r="F140" s="144" t="n">
        <x:f>'Bengali'!E76</x:f>
        <x:v>873.3961</x:v>
      </x:c>
    </x:row>
    <x:row r="141" ht="24" customHeight="1">
      <x:c r="B141" s="92" t="str">
        <x:v>Bengali</x:v>
      </x:c>
      <x:c r="C141" s="92" t="str">
        <x:v>tev1:0.8b</x:v>
      </x:c>
      <x:c r="D141" s="97" t="n">
        <x:f>'Bengali'!C77</x:f>
        <x:v>791.9639738814445</x:v>
      </x:c>
      <x:c r="E141" s="97" t="n">
        <x:f>'Bengali'!D77</x:f>
        <x:v>870.522</x:v>
      </x:c>
      <x:c r="F141" s="97" t="n">
        <x:f>'Bengali'!E77</x:f>
        <x:v>880.8537</x:v>
      </x:c>
    </x:row>
    <x:row r="142" ht="24" customHeight="1">
      <x:c r="B142" s="92" t="str">
        <x:v>Bengali</x:v>
      </x:c>
      <x:c r="C142" s="92" t="str">
        <x:v>tev1:4b</x:v>
      </x:c>
      <x:c r="D142" s="97" t="n">
        <x:f>'Bengali'!C78</x:f>
        <x:v>848.2449291392234</x:v>
      </x:c>
      <x:c r="E142" s="97" t="n">
        <x:f>'Bengali'!D78</x:f>
        <x:v>831.315</x:v>
      </x:c>
      <x:c r="F142" s="97" t="n">
        <x:f>'Bengali'!E78</x:f>
        <x:v>1001.8046999999997</x:v>
      </x:c>
    </x:row>
    <x:row r="143" ht="24" customHeight="1">
      <x:c r="B143" s="107" t="str">
        <x:v>Bengali</x:v>
      </x:c>
      <x:c r="C143" s="107" t="str">
        <x:v>typesafe/jev-1.13</x:v>
      </x:c>
      <x:c r="D143" s="116" t="n">
        <x:f>'Bengali'!C79</x:f>
        <x:v>296.86537065637066</x:v>
      </x:c>
      <x:c r="E143" s="116" t="n">
        <x:f>'Bengali'!D79</x:f>
        <x:v>276.543</x:v>
      </x:c>
      <x:c r="F143" s="116" t="n">
        <x:f>'Bengali'!E79</x:f>
        <x:v>403.3145999999999</x:v>
      </x:c>
    </x:row>
    <x:row r="144" ht="24" customHeight="1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/>
      <x:c r="L144"/>
    </x:row>
    <x:row r="145" ht="24" customHeight="1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/>
      <x:c r="L145"/>
    </x:row>
    <x:row r="146" ht="29" customHeight="1">
      <x:c r="A146" s="67"/>
      <x:c r="B146" s="72" t="str">
        <x:v>TABLE 9.</x:v>
      </x:c>
      <x:c r="C146" s="77" t="str">
        <x:v>Sentiment evaluation coverage.</x:v>
      </x:c>
      <x:c r="D146"/>
      <x:c r="E146"/>
      <x:c r="F146"/>
      <x:c r="G146"/>
      <x:c r="H146"/>
      <x:c r="I146"/>
      <x:c r="J146" s="67"/>
      <x:c r="K146"/>
      <x:c r="L146"/>
    </x:row>
    <x:row r="147" ht="36" customHeight="1">
      <x:c r="A147" s="67"/>
      <x:c r="B147" s="163" t="str">
        <x:v>Türkiye: sentiment_tr, n = 12,760; Indonesian: sentiment, n = 12,760; Bengali: sentiment_bn, n = 12,760</x:v>
      </x:c>
      <x:c r="C147" s="61"/>
      <x:c r="D147" s="61"/>
      <x:c r="E147" s="61"/>
      <x:c r="F147" s="61"/>
      <x:c r="G147" s="61"/>
      <x:c r="H147" s="61"/>
      <x:c r="I147" s="61"/>
      <x:c r="J147" s="67"/>
      <x:c r="K147"/>
      <x:c r="L147"/>
    </x:row>
    <x:row r="148" ht="9" customHeight="1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/>
      <x:c r="L148"/>
    </x:row>
    <x:row r="149" ht="42" customHeight="1">
      <x:c r="A149" s="67"/>
      <x:c r="B149" s="88" t="str">
        <x:v>Country</x:v>
      </x:c>
      <x:c r="C149" s="88" t="str">
        <x:v>Model</x:v>
      </x:c>
      <x:c r="D149" s="90" t="str">
        <x:v>Total</x:v>
      </x:c>
      <x:c r="E149" s="90" t="str">
        <x:v>Successful</x:v>
      </x:c>
      <x:c r="F149" s="90" t="str">
        <x:v>Errors</x:v>
      </x:c>
      <x:c r="G149" s="90" t="str">
        <x:v>Error Rate</x:v>
      </x:c>
      <x:c r="H149" s="90" t="str">
        <x:v>Probability
Records</x:v>
      </x:c>
      <x:c r="I149" s="90" t="str">
        <x:v>Choice
Mismatches</x:v>
      </x:c>
      <x:c r="J149" s="67"/>
      <x:c r="K149"/>
      <x:c r="L149"/>
    </x:row>
    <x:row r="150" ht="24" customHeight="1">
      <x:c r="A150" s="67"/>
      <x:c r="B150" s="92" t="str">
        <x:v>Türkiye</x:v>
      </x:c>
      <x:c r="C150" s="92" t="str">
        <x:v>nimble:9b</x:v>
      </x:c>
      <x:c r="D150" s="128" t="n">
        <x:f>'Turkiye'!C86</x:f>
        <x:v>12760</x:v>
      </x:c>
      <x:c r="E150" s="128" t="n">
        <x:f>'Turkiye'!D86</x:f>
        <x:v>12760</x:v>
      </x:c>
      <x:c r="F150" s="128" t="n">
        <x:f>'Turkiye'!E86</x:f>
        <x:v>0</x:v>
      </x:c>
      <x:c r="G150" s="97" t="n">
        <x:f>'Turkiye'!F86</x:f>
        <x:v>0</x:v>
      </x:c>
      <x:c r="H150" s="128" t="n">
        <x:f>'Turkiye'!G86</x:f>
        <x:v>12760</x:v>
      </x:c>
      <x:c r="I150" s="128" t="n">
        <x:f>'Turkiye'!H86</x:f>
        <x:v>0</x:v>
      </x:c>
      <x:c r="J150" s="67"/>
      <x:c r="K150"/>
      <x:c r="L150"/>
    </x:row>
    <x:row r="151" ht="24" customHeight="1">
      <x:c r="A151" s="67"/>
      <x:c r="B151" s="92" t="str">
        <x:v>Türkiye</x:v>
      </x:c>
      <x:c r="C151" s="92" t="str">
        <x:v>tev1:0.8b</x:v>
      </x:c>
      <x:c r="D151" s="128" t="n">
        <x:f>'Turkiye'!C87</x:f>
        <x:v>12760</x:v>
      </x:c>
      <x:c r="E151" s="128" t="n">
        <x:f>'Turkiye'!D87</x:f>
        <x:v>12760</x:v>
      </x:c>
      <x:c r="F151" s="128" t="n">
        <x:f>'Turkiye'!E87</x:f>
        <x:v>0</x:v>
      </x:c>
      <x:c r="G151" s="97" t="n">
        <x:f>'Turkiye'!F87</x:f>
        <x:v>0</x:v>
      </x:c>
      <x:c r="H151" s="128" t="n">
        <x:f>'Turkiye'!G87</x:f>
        <x:v>12760</x:v>
      </x:c>
      <x:c r="I151" s="128" t="n">
        <x:f>'Turkiye'!H87</x:f>
        <x:v>0</x:v>
      </x:c>
      <x:c r="J151" s="67"/>
      <x:c r="K151"/>
      <x:c r="L151"/>
    </x:row>
    <x:row r="152" ht="24" customHeight="1">
      <x:c r="A152" s="67"/>
      <x:c r="B152" s="92" t="str">
        <x:v>Türkiye</x:v>
      </x:c>
      <x:c r="C152" s="92" t="str">
        <x:v>tev1:4b</x:v>
      </x:c>
      <x:c r="D152" s="128" t="n">
        <x:f>'Turkiye'!C88</x:f>
        <x:v>12760</x:v>
      </x:c>
      <x:c r="E152" s="128" t="n">
        <x:f>'Turkiye'!D88</x:f>
        <x:v>12760</x:v>
      </x:c>
      <x:c r="F152" s="128" t="n">
        <x:f>'Turkiye'!E88</x:f>
        <x:v>0</x:v>
      </x:c>
      <x:c r="G152" s="97" t="n">
        <x:f>'Turkiye'!F88</x:f>
        <x:v>0</x:v>
      </x:c>
      <x:c r="H152" s="128" t="n">
        <x:f>'Turkiye'!G88</x:f>
        <x:v>12760</x:v>
      </x:c>
      <x:c r="I152" s="128" t="n">
        <x:f>'Turkiye'!H88</x:f>
        <x:v>0</x:v>
      </x:c>
      <x:c r="J152" s="67"/>
      <x:c r="K152"/>
      <x:c r="L152"/>
    </x:row>
    <x:row r="153" ht="24" customHeight="1">
      <x:c r="A153" s="67"/>
      <x:c r="B153" s="92" t="str">
        <x:v>Türkiye</x:v>
      </x:c>
      <x:c r="C153" s="92" t="str">
        <x:v>typesafe/jev-1.13</x:v>
      </x:c>
      <x:c r="D153" s="128" t="n">
        <x:f>'Turkiye'!C89</x:f>
        <x:v>12760</x:v>
      </x:c>
      <x:c r="E153" s="128" t="n">
        <x:f>'Turkiye'!D89</x:f>
        <x:v>12760</x:v>
      </x:c>
      <x:c r="F153" s="128" t="n">
        <x:f>'Turkiye'!E89</x:f>
        <x:v>0</x:v>
      </x:c>
      <x:c r="G153" s="97" t="n">
        <x:f>'Turkiye'!F89</x:f>
        <x:v>0</x:v>
      </x:c>
      <x:c r="H153" s="128" t="n">
        <x:f>'Turkiye'!G89</x:f>
        <x:v>12760</x:v>
      </x:c>
      <x:c r="I153" s="128" t="n">
        <x:f>'Turkiye'!H89</x:f>
        <x:v>7</x:v>
      </x:c>
      <x:c r="J153" s="67"/>
      <x:c r="K153"/>
      <x:c r="L153"/>
    </x:row>
    <x:row r="154" ht="24" customHeight="1">
      <x:c r="A154" s="67"/>
      <x:c r="B154" s="140" t="str">
        <x:v>Indonesian</x:v>
      </x:c>
      <x:c r="C154" s="140" t="str">
        <x:v>nimble:9b</x:v>
      </x:c>
      <x:c r="D154" s="157" t="n">
        <x:f>'Indonesian'!C86</x:f>
        <x:v>12760</x:v>
      </x:c>
      <x:c r="E154" s="157" t="n">
        <x:f>'Indonesian'!D86</x:f>
        <x:v>12760</x:v>
      </x:c>
      <x:c r="F154" s="157" t="n">
        <x:f>'Indonesian'!E86</x:f>
        <x:v>0</x:v>
      </x:c>
      <x:c r="G154" s="144" t="n">
        <x:f>'Indonesian'!F86</x:f>
        <x:v>0</x:v>
      </x:c>
      <x:c r="H154" s="157" t="n">
        <x:f>'Indonesian'!G86</x:f>
        <x:v>12760</x:v>
      </x:c>
      <x:c r="I154" s="157" t="n">
        <x:f>'Indonesian'!H86</x:f>
        <x:v>0</x:v>
      </x:c>
      <x:c r="J154" s="67"/>
      <x:c r="K154"/>
      <x:c r="L154"/>
    </x:row>
    <x:row r="155" ht="24" customHeight="1">
      <x:c r="A155" s="67"/>
      <x:c r="B155" s="92" t="str">
        <x:v>Indonesian</x:v>
      </x:c>
      <x:c r="C155" s="92" t="str">
        <x:v>tev1:0.8b</x:v>
      </x:c>
      <x:c r="D155" s="128" t="n">
        <x:f>'Indonesian'!C87</x:f>
        <x:v>12760</x:v>
      </x:c>
      <x:c r="E155" s="128" t="n">
        <x:f>'Indonesian'!D87</x:f>
        <x:v>12760</x:v>
      </x:c>
      <x:c r="F155" s="128" t="n">
        <x:f>'Indonesian'!E87</x:f>
        <x:v>0</x:v>
      </x:c>
      <x:c r="G155" s="97" t="n">
        <x:f>'Indonesian'!F87</x:f>
        <x:v>0</x:v>
      </x:c>
      <x:c r="H155" s="128" t="n">
        <x:f>'Indonesian'!G87</x:f>
        <x:v>12760</x:v>
      </x:c>
      <x:c r="I155" s="128" t="n">
        <x:f>'Indonesian'!H87</x:f>
        <x:v>0</x:v>
      </x:c>
      <x:c r="J155" s="67"/>
      <x:c r="K155"/>
      <x:c r="L155"/>
    </x:row>
    <x:row r="156" ht="24" customHeight="1">
      <x:c r="A156" s="67"/>
      <x:c r="B156" s="92" t="str">
        <x:v>Indonesian</x:v>
      </x:c>
      <x:c r="C156" s="92" t="str">
        <x:v>tev1:4b</x:v>
      </x:c>
      <x:c r="D156" s="128" t="n">
        <x:f>'Indonesian'!C88</x:f>
        <x:v>12760</x:v>
      </x:c>
      <x:c r="E156" s="128" t="n">
        <x:f>'Indonesian'!D88</x:f>
        <x:v>12760</x:v>
      </x:c>
      <x:c r="F156" s="128" t="n">
        <x:f>'Indonesian'!E88</x:f>
        <x:v>0</x:v>
      </x:c>
      <x:c r="G156" s="97" t="n">
        <x:f>'Indonesian'!F88</x:f>
        <x:v>0</x:v>
      </x:c>
      <x:c r="H156" s="128" t="n">
        <x:f>'Indonesian'!G88</x:f>
        <x:v>12760</x:v>
      </x:c>
      <x:c r="I156" s="128" t="n">
        <x:f>'Indonesian'!H88</x:f>
        <x:v>0</x:v>
      </x:c>
      <x:c r="J156" s="67"/>
      <x:c r="K156"/>
      <x:c r="L156"/>
    </x:row>
    <x:row r="157" ht="24" customHeight="1">
      <x:c r="A157" s="67"/>
      <x:c r="B157" s="107" t="str">
        <x:v>Indonesian</x:v>
      </x:c>
      <x:c r="C157" s="107" t="str">
        <x:v>typesafe/jev-1.13</x:v>
      </x:c>
      <x:c r="D157" s="132" t="n">
        <x:f>'Indonesian'!C89</x:f>
        <x:v>12760</x:v>
      </x:c>
      <x:c r="E157" s="132" t="n">
        <x:f>'Indonesian'!D89</x:f>
        <x:v>12760</x:v>
      </x:c>
      <x:c r="F157" s="132" t="n">
        <x:f>'Indonesian'!E89</x:f>
        <x:v>0</x:v>
      </x:c>
      <x:c r="G157" s="111" t="n">
        <x:f>'Indonesian'!F89</x:f>
        <x:v>0</x:v>
      </x:c>
      <x:c r="H157" s="132" t="n">
        <x:f>'Indonesian'!G89</x:f>
        <x:v>12760</x:v>
      </x:c>
      <x:c r="I157" s="132" t="n">
        <x:f>'Indonesian'!H89</x:f>
        <x:v>12</x:v>
      </x:c>
      <x:c r="J157" s="67"/>
      <x:c r="K157"/>
      <x:c r="L157"/>
    </x:row>
    <x:row r="158" ht="24" customHeight="1">
      <x:c r="B158" s="140" t="str">
        <x:v>Bengali</x:v>
      </x:c>
      <x:c r="C158" s="140" t="str">
        <x:v>nimble:9b</x:v>
      </x:c>
      <x:c r="D158" s="157" t="n">
        <x:f>'Bengali'!C86</x:f>
        <x:v>12760</x:v>
      </x:c>
      <x:c r="E158" s="157" t="n">
        <x:f>'Bengali'!D86</x:f>
        <x:v>12760</x:v>
      </x:c>
      <x:c r="F158" s="157" t="n">
        <x:f>'Bengali'!E86</x:f>
        <x:v>0</x:v>
      </x:c>
      <x:c r="G158" s="144" t="n">
        <x:f>'Bengali'!F86</x:f>
        <x:v>0</x:v>
      </x:c>
      <x:c r="H158" s="157" t="n">
        <x:f>'Bengali'!G86</x:f>
        <x:v>12760</x:v>
      </x:c>
      <x:c r="I158" s="157" t="n">
        <x:f>'Bengali'!H86</x:f>
        <x:v>0</x:v>
      </x:c>
    </x:row>
    <x:row r="159" ht="24" customHeight="1">
      <x:c r="B159" s="92" t="str">
        <x:v>Bengali</x:v>
      </x:c>
      <x:c r="C159" s="92" t="str">
        <x:v>tev1:0.8b</x:v>
      </x:c>
      <x:c r="D159" s="128" t="n">
        <x:f>'Bengali'!C87</x:f>
        <x:v>12760</x:v>
      </x:c>
      <x:c r="E159" s="128" t="n">
        <x:f>'Bengali'!D87</x:f>
        <x:v>12760</x:v>
      </x:c>
      <x:c r="F159" s="128" t="n">
        <x:f>'Bengali'!E87</x:f>
        <x:v>0</x:v>
      </x:c>
      <x:c r="G159" s="97" t="n">
        <x:f>'Bengali'!F87</x:f>
        <x:v>0</x:v>
      </x:c>
      <x:c r="H159" s="128" t="n">
        <x:f>'Bengali'!G87</x:f>
        <x:v>12760</x:v>
      </x:c>
      <x:c r="I159" s="128" t="n">
        <x:f>'Bengali'!H87</x:f>
        <x:v>0</x:v>
      </x:c>
    </x:row>
    <x:row r="160" ht="24" customHeight="1">
      <x:c r="B160" s="92" t="str">
        <x:v>Bengali</x:v>
      </x:c>
      <x:c r="C160" s="92" t="str">
        <x:v>tev1:4b</x:v>
      </x:c>
      <x:c r="D160" s="128" t="n">
        <x:f>'Bengali'!C88</x:f>
        <x:v>12760</x:v>
      </x:c>
      <x:c r="E160" s="128" t="n">
        <x:f>'Bengali'!D88</x:f>
        <x:v>12760</x:v>
      </x:c>
      <x:c r="F160" s="128" t="n">
        <x:f>'Bengali'!E88</x:f>
        <x:v>0</x:v>
      </x:c>
      <x:c r="G160" s="97" t="n">
        <x:f>'Bengali'!F88</x:f>
        <x:v>0</x:v>
      </x:c>
      <x:c r="H160" s="128" t="n">
        <x:f>'Bengali'!G88</x:f>
        <x:v>12760</x:v>
      </x:c>
      <x:c r="I160" s="128" t="n">
        <x:f>'Bengali'!H88</x:f>
        <x:v>0</x:v>
      </x:c>
    </x:row>
    <x:row r="161" ht="24" customHeight="1">
      <x:c r="B161" s="107" t="str">
        <x:v>Bengali</x:v>
      </x:c>
      <x:c r="C161" s="107" t="str">
        <x:v>typesafe/jev-1.13</x:v>
      </x:c>
      <x:c r="D161" s="132" t="n">
        <x:f>'Bengali'!C89</x:f>
        <x:v>12760</x:v>
      </x:c>
      <x:c r="E161" s="132" t="n">
        <x:f>'Bengali'!D89</x:f>
        <x:v>12760</x:v>
      </x:c>
      <x:c r="F161" s="132" t="n">
        <x:f>'Bengali'!E89</x:f>
        <x:v>0</x:v>
      </x:c>
      <x:c r="G161" s="111" t="n">
        <x:f>'Bengali'!F89</x:f>
        <x:v>0</x:v>
      </x:c>
      <x:c r="H161" s="132" t="n">
        <x:f>'Bengali'!G89</x:f>
        <x:v>12760</x:v>
      </x:c>
      <x:c r="I161" s="132" t="n">
        <x:f>'Bengali'!H89</x:f>
        <x:v>21</x:v>
      </x:c>
    </x:row>
    <x:row r="162" ht="24" customHeight="1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/>
      <x:c r="L162"/>
    </x:row>
    <x:row r="163" ht="24" customHeight="1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/>
      <x:c r="L163"/>
    </x:row>
    <x:row r="164" ht="29" customHeight="1">
      <x:c r="A164" s="67"/>
      <x:c r="B164" s="72" t="str">
        <x:v>TABLE 10.</x:v>
      </x:c>
      <x:c r="C164" s="77" t="str">
        <x:v>Emotion evaluation coverage.</x:v>
      </x:c>
      <x:c r="D164"/>
      <x:c r="E164"/>
      <x:c r="F164"/>
      <x:c r="G164"/>
      <x:c r="H164"/>
      <x:c r="I164"/>
      <x:c r="J164" s="67"/>
      <x:c r="K164"/>
      <x:c r="L164"/>
    </x:row>
    <x:row r="165" ht="36" customHeight="1">
      <x:c r="A165" s="67"/>
      <x:c r="B165" s="163" t="str">
        <x:v>Türkiye: emotion_tr, n = 4,403; Indonesian: emotion, n = 4,403; Bengali: emotion_bn, n = 4,403</x:v>
      </x:c>
      <x:c r="C165" s="61"/>
      <x:c r="D165" s="61"/>
      <x:c r="E165" s="61"/>
      <x:c r="F165" s="61"/>
      <x:c r="G165" s="61"/>
      <x:c r="H165" s="61"/>
      <x:c r="I165" s="61"/>
      <x:c r="J165" s="67"/>
      <x:c r="K165"/>
      <x:c r="L165"/>
    </x:row>
    <x:row r="166" ht="9" customHeight="1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/>
      <x:c r="L166"/>
    </x:row>
    <x:row r="167" ht="42" customHeight="1">
      <x:c r="A167" s="67"/>
      <x:c r="B167" s="88" t="str">
        <x:v>Country</x:v>
      </x:c>
      <x:c r="C167" s="88" t="str">
        <x:v>Model</x:v>
      </x:c>
      <x:c r="D167" s="90" t="str">
        <x:v>Total</x:v>
      </x:c>
      <x:c r="E167" s="90" t="str">
        <x:v>Successful</x:v>
      </x:c>
      <x:c r="F167" s="90" t="str">
        <x:v>Errors</x:v>
      </x:c>
      <x:c r="G167" s="90" t="str">
        <x:v>Error Rate</x:v>
      </x:c>
      <x:c r="H167" s="90" t="str">
        <x:v>Probability
Records</x:v>
      </x:c>
      <x:c r="I167" s="90" t="str">
        <x:v>Choice
Mismatches</x:v>
      </x:c>
      <x:c r="J167" s="67"/>
      <x:c r="K167"/>
      <x:c r="L167"/>
    </x:row>
    <x:row r="168" ht="24" customHeight="1">
      <x:c r="A168" s="67"/>
      <x:c r="B168" s="92" t="str">
        <x:v>Türkiye</x:v>
      </x:c>
      <x:c r="C168" s="92" t="str">
        <x:v>nimble:9b</x:v>
      </x:c>
      <x:c r="D168" s="128" t="n">
        <x:f>'Turkiye'!C96</x:f>
        <x:v>4403</x:v>
      </x:c>
      <x:c r="E168" s="128" t="n">
        <x:f>'Turkiye'!D96</x:f>
        <x:v>4403</x:v>
      </x:c>
      <x:c r="F168" s="128" t="n">
        <x:f>'Turkiye'!E96</x:f>
        <x:v>0</x:v>
      </x:c>
      <x:c r="G168" s="97" t="n">
        <x:f>'Turkiye'!F96</x:f>
        <x:v>0</x:v>
      </x:c>
      <x:c r="H168" s="128" t="n">
        <x:f>'Turkiye'!G96</x:f>
        <x:v>4403</x:v>
      </x:c>
      <x:c r="I168" s="128" t="n">
        <x:f>'Turkiye'!H96</x:f>
        <x:v>0</x:v>
      </x:c>
      <x:c r="J168" s="67"/>
      <x:c r="K168"/>
      <x:c r="L168"/>
    </x:row>
    <x:row r="169" ht="24" customHeight="1">
      <x:c r="A169" s="67"/>
      <x:c r="B169" s="92" t="str">
        <x:v>Türkiye</x:v>
      </x:c>
      <x:c r="C169" s="92" t="str">
        <x:v>tev1:0.8b</x:v>
      </x:c>
      <x:c r="D169" s="128" t="n">
        <x:f>'Turkiye'!C97</x:f>
        <x:v>4403</x:v>
      </x:c>
      <x:c r="E169" s="128" t="n">
        <x:f>'Turkiye'!D97</x:f>
        <x:v>4403</x:v>
      </x:c>
      <x:c r="F169" s="128" t="n">
        <x:f>'Turkiye'!E97</x:f>
        <x:v>0</x:v>
      </x:c>
      <x:c r="G169" s="97" t="n">
        <x:f>'Turkiye'!F97</x:f>
        <x:v>0</x:v>
      </x:c>
      <x:c r="H169" s="128" t="n">
        <x:f>'Turkiye'!G97</x:f>
        <x:v>4403</x:v>
      </x:c>
      <x:c r="I169" s="128" t="n">
        <x:f>'Turkiye'!H97</x:f>
        <x:v>0</x:v>
      </x:c>
      <x:c r="J169" s="67"/>
      <x:c r="K169"/>
      <x:c r="L169"/>
    </x:row>
    <x:row r="170" ht="24" customHeight="1">
      <x:c r="A170" s="67"/>
      <x:c r="B170" s="92" t="str">
        <x:v>Türkiye</x:v>
      </x:c>
      <x:c r="C170" s="92" t="str">
        <x:v>tev1:4b</x:v>
      </x:c>
      <x:c r="D170" s="128" t="n">
        <x:f>'Turkiye'!C98</x:f>
        <x:v>4403</x:v>
      </x:c>
      <x:c r="E170" s="128" t="n">
        <x:f>'Turkiye'!D98</x:f>
        <x:v>4403</x:v>
      </x:c>
      <x:c r="F170" s="128" t="n">
        <x:f>'Turkiye'!E98</x:f>
        <x:v>0</x:v>
      </x:c>
      <x:c r="G170" s="97" t="n">
        <x:f>'Turkiye'!F98</x:f>
        <x:v>0</x:v>
      </x:c>
      <x:c r="H170" s="128" t="n">
        <x:f>'Turkiye'!G98</x:f>
        <x:v>4403</x:v>
      </x:c>
      <x:c r="I170" s="128" t="n">
        <x:f>'Turkiye'!H98</x:f>
        <x:v>0</x:v>
      </x:c>
      <x:c r="J170" s="67"/>
      <x:c r="K170"/>
      <x:c r="L170"/>
    </x:row>
    <x:row r="171" ht="24" customHeight="1">
      <x:c r="A171" s="67"/>
      <x:c r="B171" s="92" t="str">
        <x:v>Türkiye</x:v>
      </x:c>
      <x:c r="C171" s="92" t="str">
        <x:v>typesafe/jev-1.13</x:v>
      </x:c>
      <x:c r="D171" s="128" t="n">
        <x:f>'Turkiye'!C99</x:f>
        <x:v>4403</x:v>
      </x:c>
      <x:c r="E171" s="128" t="n">
        <x:f>'Turkiye'!D99</x:f>
        <x:v>4403</x:v>
      </x:c>
      <x:c r="F171" s="128" t="n">
        <x:f>'Turkiye'!E99</x:f>
        <x:v>0</x:v>
      </x:c>
      <x:c r="G171" s="97" t="n">
        <x:f>'Turkiye'!F99</x:f>
        <x:v>0</x:v>
      </x:c>
      <x:c r="H171" s="128" t="n">
        <x:f>'Turkiye'!G99</x:f>
        <x:v>4403</x:v>
      </x:c>
      <x:c r="I171" s="128" t="n">
        <x:f>'Turkiye'!H99</x:f>
        <x:v>9</x:v>
      </x:c>
      <x:c r="J171" s="67"/>
      <x:c r="K171"/>
      <x:c r="L171"/>
    </x:row>
    <x:row r="172" ht="24" customHeight="1">
      <x:c r="A172" s="67"/>
      <x:c r="B172" s="140" t="str">
        <x:v>Indonesian</x:v>
      </x:c>
      <x:c r="C172" s="140" t="str">
        <x:v>nimble:9b</x:v>
      </x:c>
      <x:c r="D172" s="157" t="n">
        <x:f>'Indonesian'!C96</x:f>
        <x:v>4403</x:v>
      </x:c>
      <x:c r="E172" s="157" t="n">
        <x:f>'Indonesian'!D96</x:f>
        <x:v>4403</x:v>
      </x:c>
      <x:c r="F172" s="157" t="n">
        <x:f>'Indonesian'!E96</x:f>
        <x:v>0</x:v>
      </x:c>
      <x:c r="G172" s="144" t="n">
        <x:f>'Indonesian'!F96</x:f>
        <x:v>0</x:v>
      </x:c>
      <x:c r="H172" s="157" t="n">
        <x:f>'Indonesian'!G96</x:f>
        <x:v>4403</x:v>
      </x:c>
      <x:c r="I172" s="157" t="n">
        <x:f>'Indonesian'!H96</x:f>
        <x:v>0</x:v>
      </x:c>
      <x:c r="J172" s="67"/>
      <x:c r="K172"/>
      <x:c r="L172"/>
    </x:row>
    <x:row r="173" ht="24" customHeight="1">
      <x:c r="A173" s="67"/>
      <x:c r="B173" s="92" t="str">
        <x:v>Indonesian</x:v>
      </x:c>
      <x:c r="C173" s="92" t="str">
        <x:v>tev1:0.8b</x:v>
      </x:c>
      <x:c r="D173" s="128" t="n">
        <x:f>'Indonesian'!C97</x:f>
        <x:v>4403</x:v>
      </x:c>
      <x:c r="E173" s="128" t="n">
        <x:f>'Indonesian'!D97</x:f>
        <x:v>4403</x:v>
      </x:c>
      <x:c r="F173" s="128" t="n">
        <x:f>'Indonesian'!E97</x:f>
        <x:v>0</x:v>
      </x:c>
      <x:c r="G173" s="97" t="n">
        <x:f>'Indonesian'!F97</x:f>
        <x:v>0</x:v>
      </x:c>
      <x:c r="H173" s="128" t="n">
        <x:f>'Indonesian'!G97</x:f>
        <x:v>4403</x:v>
      </x:c>
      <x:c r="I173" s="128" t="n">
        <x:f>'Indonesian'!H97</x:f>
        <x:v>0</x:v>
      </x:c>
      <x:c r="J173" s="67"/>
      <x:c r="K173"/>
      <x:c r="L173"/>
    </x:row>
    <x:row r="174" ht="24" customHeight="1">
      <x:c r="A174" s="67"/>
      <x:c r="B174" s="92" t="str">
        <x:v>Indonesian</x:v>
      </x:c>
      <x:c r="C174" s="92" t="str">
        <x:v>tev1:4b</x:v>
      </x:c>
      <x:c r="D174" s="128" t="n">
        <x:f>'Indonesian'!C98</x:f>
        <x:v>4403</x:v>
      </x:c>
      <x:c r="E174" s="128" t="n">
        <x:f>'Indonesian'!D98</x:f>
        <x:v>4403</x:v>
      </x:c>
      <x:c r="F174" s="128" t="n">
        <x:f>'Indonesian'!E98</x:f>
        <x:v>0</x:v>
      </x:c>
      <x:c r="G174" s="97" t="n">
        <x:f>'Indonesian'!F98</x:f>
        <x:v>0</x:v>
      </x:c>
      <x:c r="H174" s="128" t="n">
        <x:f>'Indonesian'!G98</x:f>
        <x:v>4403</x:v>
      </x:c>
      <x:c r="I174" s="128" t="n">
        <x:f>'Indonesian'!H98</x:f>
        <x:v>0</x:v>
      </x:c>
      <x:c r="J174" s="67"/>
      <x:c r="K174"/>
      <x:c r="L174"/>
    </x:row>
    <x:row r="175" ht="24" customHeight="1">
      <x:c r="A175" s="67"/>
      <x:c r="B175" s="107" t="str">
        <x:v>Indonesian</x:v>
      </x:c>
      <x:c r="C175" s="107" t="str">
        <x:v>typesafe/jev-1.13</x:v>
      </x:c>
      <x:c r="D175" s="132" t="n">
        <x:f>'Indonesian'!C99</x:f>
        <x:v>4403</x:v>
      </x:c>
      <x:c r="E175" s="132" t="n">
        <x:f>'Indonesian'!D99</x:f>
        <x:v>4403</x:v>
      </x:c>
      <x:c r="F175" s="132" t="n">
        <x:f>'Indonesian'!E99</x:f>
        <x:v>0</x:v>
      </x:c>
      <x:c r="G175" s="111" t="n">
        <x:f>'Indonesian'!F99</x:f>
        <x:v>0</x:v>
      </x:c>
      <x:c r="H175" s="132" t="n">
        <x:f>'Indonesian'!G99</x:f>
        <x:v>4403</x:v>
      </x:c>
      <x:c r="I175" s="132" t="n">
        <x:f>'Indonesian'!H99</x:f>
        <x:v>7</x:v>
      </x:c>
      <x:c r="J175" s="67"/>
      <x:c r="K175"/>
      <x:c r="L175"/>
    </x:row>
    <x:row r="176" ht="24" customHeight="1">
      <x:c r="B176" s="140" t="str">
        <x:v>Bengali</x:v>
      </x:c>
      <x:c r="C176" s="140" t="str">
        <x:v>nimble:9b</x:v>
      </x:c>
      <x:c r="D176" s="157" t="n">
        <x:f>'Bengali'!C96</x:f>
        <x:v>4403</x:v>
      </x:c>
      <x:c r="E176" s="157" t="n">
        <x:f>'Bengali'!D96</x:f>
        <x:v>4403</x:v>
      </x:c>
      <x:c r="F176" s="157" t="n">
        <x:f>'Bengali'!E96</x:f>
        <x:v>0</x:v>
      </x:c>
      <x:c r="G176" s="144" t="n">
        <x:f>'Bengali'!F96</x:f>
        <x:v>0</x:v>
      </x:c>
      <x:c r="H176" s="157" t="n">
        <x:f>'Bengali'!G96</x:f>
        <x:v>4403</x:v>
      </x:c>
      <x:c r="I176" s="157" t="n">
        <x:f>'Bengali'!H96</x:f>
        <x:v>0</x:v>
      </x:c>
    </x:row>
    <x:row r="177" ht="24" customHeight="1">
      <x:c r="B177" s="92" t="str">
        <x:v>Bengali</x:v>
      </x:c>
      <x:c r="C177" s="92" t="str">
        <x:v>tev1:0.8b</x:v>
      </x:c>
      <x:c r="D177" s="128" t="n">
        <x:f>'Bengali'!C97</x:f>
        <x:v>4403</x:v>
      </x:c>
      <x:c r="E177" s="128" t="n">
        <x:f>'Bengali'!D97</x:f>
        <x:v>4403</x:v>
      </x:c>
      <x:c r="F177" s="128" t="n">
        <x:f>'Bengali'!E97</x:f>
        <x:v>0</x:v>
      </x:c>
      <x:c r="G177" s="97" t="n">
        <x:f>'Bengali'!F97</x:f>
        <x:v>0</x:v>
      </x:c>
      <x:c r="H177" s="128" t="n">
        <x:f>'Bengali'!G97</x:f>
        <x:v>4403</x:v>
      </x:c>
      <x:c r="I177" s="128" t="n">
        <x:f>'Bengali'!H97</x:f>
        <x:v>0</x:v>
      </x:c>
    </x:row>
    <x:row r="178" ht="24" customHeight="1">
      <x:c r="B178" s="92" t="str">
        <x:v>Bengali</x:v>
      </x:c>
      <x:c r="C178" s="92" t="str">
        <x:v>tev1:4b</x:v>
      </x:c>
      <x:c r="D178" s="128" t="n">
        <x:f>'Bengali'!C98</x:f>
        <x:v>4403</x:v>
      </x:c>
      <x:c r="E178" s="128" t="n">
        <x:f>'Bengali'!D98</x:f>
        <x:v>4403</x:v>
      </x:c>
      <x:c r="F178" s="128" t="n">
        <x:f>'Bengali'!E98</x:f>
        <x:v>0</x:v>
      </x:c>
      <x:c r="G178" s="97" t="n">
        <x:f>'Bengali'!F98</x:f>
        <x:v>0</x:v>
      </x:c>
      <x:c r="H178" s="128" t="n">
        <x:f>'Bengali'!G98</x:f>
        <x:v>4403</x:v>
      </x:c>
      <x:c r="I178" s="128" t="n">
        <x:f>'Bengali'!H98</x:f>
        <x:v>0</x:v>
      </x:c>
    </x:row>
    <x:row r="179" ht="24" customHeight="1">
      <x:c r="B179" s="107" t="str">
        <x:v>Bengali</x:v>
      </x:c>
      <x:c r="C179" s="107" t="str">
        <x:v>typesafe/jev-1.13</x:v>
      </x:c>
      <x:c r="D179" s="132" t="n">
        <x:f>'Bengali'!C99</x:f>
        <x:v>4403</x:v>
      </x:c>
      <x:c r="E179" s="132" t="n">
        <x:f>'Bengali'!D99</x:f>
        <x:v>4403</x:v>
      </x:c>
      <x:c r="F179" s="132" t="n">
        <x:f>'Bengali'!E99</x:f>
        <x:v>0</x:v>
      </x:c>
      <x:c r="G179" s="111" t="n">
        <x:f>'Bengali'!F99</x:f>
        <x:v>0</x:v>
      </x:c>
      <x:c r="H179" s="132" t="n">
        <x:f>'Bengali'!G99</x:f>
        <x:v>4403</x:v>
      </x:c>
      <x:c r="I179" s="132" t="n">
        <x:f>'Bengali'!H99</x:f>
        <x:v>6</x:v>
      </x:c>
    </x:row>
    <x:row r="180" ht="24" customHeight="1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/>
      <x:c r="L180"/>
    </x:row>
    <x:row r="181" ht="24" customHeight="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/>
      <x:c r="L181"/>
    </x:row>
    <x:row r="182" ht="23" customHeight="1">
      <x:c r="A182" s="67"/>
      <x:c r="B182" s="82" t="str">
        <x:v>Bold marks the best exact value within each country and task; ties are included.</x:v>
      </x:c>
      <x:c r="C182"/>
      <x:c r="D182"/>
      <x:c r="E182"/>
      <x:c r="F182"/>
      <x:c r="G182"/>
      <x:c r="H182"/>
      <x:c r="I182"/>
      <x:c r="J182" s="67"/>
      <x:c r="K182"/>
      <x:c r="L182"/>
    </x:row>
    <x:row r="183" ht="23" customHeight="1">
      <x:c r="A183" s="67"/>
      <x:c r="B183" s="82" t="str">
        <x:v>Higher is better for accuracy, F1 and probability coverage. Lower is better for loss, Brier, ECE and latency.</x:v>
      </x:c>
      <x:c r="C183"/>
      <x:c r="D183"/>
      <x:c r="E183"/>
      <x:c r="F183"/>
      <x:c r="G183"/>
      <x:c r="H183"/>
      <x:c r="I183"/>
      <x:c r="J183" s="67"/>
      <x:c r="K183"/>
      <x:c r="L183"/>
    </x:row>
    <x:row r="184" ht="23" customHeight="1">
      <x:c r="A184" s="67"/>
      <x:c r="B184" s="82" t="str">
        <x:v>Scores display three decimals; underlying values retain source precision. Confidence interval levels were not specified.</x:v>
      </x:c>
      <x:c r="C184"/>
      <x:c r="D184"/>
      <x:c r="E184"/>
      <x:c r="F184"/>
      <x:c r="G184"/>
      <x:c r="H184"/>
      <x:c r="I184"/>
      <x:c r="J184" s="67"/>
      <x:c r="K184"/>
      <x:c r="L184"/>
    </x:row>
    <x:row r="185" ht="23" customHeight="1">
      <x:c r="A185" s="67"/>
      <x:c r="B185" s="82" t="str">
        <x:v>Per-class precision, recall, F1, and support are included in the tables below.</x:v>
      </x:c>
      <x:c r="C185"/>
      <x:c r="D185"/>
      <x:c r="E185"/>
      <x:c r="F185"/>
      <x:c r="G185"/>
      <x:c r="H185"/>
      <x:c r="I185"/>
      <x:c r="J185" s="67"/>
      <x:c r="K185"/>
      <x:c r="L185"/>
    </x:row>
    <x:row r="186" ht="23" customHeight="1">
      <x:c r="A186" s="67"/>
      <x:c r="B186" s="82" t="str">
        <x:v>All three languages are shown separately; values link to the Turkiye, Indonesian and Bengali sheets.</x:v>
      </x:c>
      <x:c r="C186"/>
      <x:c r="D186"/>
      <x:c r="E186"/>
      <x:c r="F186"/>
      <x:c r="G186"/>
      <x:c r="H186"/>
      <x:c r="I186"/>
      <x:c r="J186" s="67"/>
      <x:c r="K186"/>
      <x:c r="L186"/>
    </x:row>
    <x:row r="187" ht="23" customHeight="1">
      <x:c r="A187" s="67"/>
      <x:c r="B187" s="82" t="str">
        <x:v>Emotion label sets differ across countries; their per-class tables are shown separately.</x:v>
      </x:c>
      <x:c r="C187"/>
      <x:c r="D187"/>
      <x:c r="E187"/>
      <x:c r="F187"/>
      <x:c r="G187"/>
      <x:c r="H187"/>
      <x:c r="I187"/>
      <x:c r="J187" s="67"/>
      <x:c r="K187"/>
      <x:c r="L187"/>
    </x:row>
    <x:row r="188" ht="24" customHeight="1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/>
      <x:c r="L188"/>
    </x:row>
    <x:row r="189" ht="24" customHeight="1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/>
      <x:c r="L189"/>
    </x:row>
    <x:row r="190" ht="24" customHeight="1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/>
      <x:c r="L190"/>
    </x:row>
    <x:row r="191" ht="24" customHeight="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</x:row>
    <x:row r="192" ht="29" customHeight="1">
      <x:c r="A192" s="67"/>
      <x:c r="B192" s="72" t="str">
        <x:v>TABLE 11.</x:v>
      </x:c>
      <x:c r="C192" s="77" t="str">
        <x:v>Sentiment classification precision.</x:v>
      </x:c>
      <x:c r="D192"/>
      <x:c r="E192"/>
      <x:c r="F192"/>
      <x:c r="G192"/>
      <x:c r="H192" s="67"/>
      <x:c r="I192" s="67"/>
      <x:c r="J192" s="67"/>
      <x:c r="K192" s="67"/>
      <x:c r="L192" s="67"/>
    </x:row>
    <x:row r="193" ht="36" customHeight="1">
      <x:c r="A193" s="67"/>
      <x:c r="B193" s="163" t="str">
        <x:v>Türkiye: sentiment_tr, n = 12,760; Indonesian: sentiment, n = 12,760; Bengali: sentiment_bn, n = 12,760</x:v>
      </x:c>
      <x:c r="C193" s="61"/>
      <x:c r="D193" s="61"/>
      <x:c r="E193" s="61"/>
      <x:c r="F193" s="61"/>
      <x:c r="G193" s="61"/>
      <x:c r="H193" s="67"/>
      <x:c r="I193" s="67"/>
      <x:c r="J193" s="67"/>
      <x:c r="K193" s="67"/>
      <x:c r="L193" s="67"/>
    </x:row>
    <x:row r="194" ht="9" customHeight="1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</x:row>
    <x:row r="195" ht="42" customHeight="1">
      <x:c r="A195" s="67"/>
      <x:c r="B195" s="88" t="str">
        <x:v>Country</x:v>
      </x:c>
      <x:c r="C195" s="88" t="str">
        <x:v>Model</x:v>
      </x:c>
      <x:c r="D195" s="90" t="str">
        <x:v>positive</x:v>
      </x:c>
      <x:c r="E195" s="90" t="str">
        <x:v>negative</x:v>
      </x:c>
      <x:c r="F195" s="90" t="str">
        <x:v>neutral</x:v>
      </x:c>
      <x:c r="G195" s="90" t="str">
        <x:v>Macro-
Precision</x:v>
      </x:c>
      <x:c r="H195" s="67"/>
      <x:c r="I195" s="67"/>
      <x:c r="J195" s="67"/>
      <x:c r="K195" s="67"/>
      <x:c r="L195" s="67"/>
    </x:row>
    <x:row r="196" ht="24" customHeight="1">
      <x:c r="A196" s="67"/>
      <x:c r="B196" s="92" t="str">
        <x:v>Türkiye</x:v>
      </x:c>
      <x:c r="C196" s="92" t="str">
        <x:v>nimble:9b</x:v>
      </x:c>
      <x:c r="D196" s="97" t="n">
        <x:f>'Turkiye'!C116</x:f>
        <x:v>0.8423177392543338</x:v>
      </x:c>
      <x:c r="E196" s="97" t="n">
        <x:f>'Turkiye'!D116</x:f>
        <x:v>0.7036825578075935</x:v>
      </x:c>
      <x:c r="F196" s="97" t="n">
        <x:f>'Turkiye'!E116</x:f>
        <x:v>0.4119760479041916</x:v>
      </x:c>
      <x:c r="G196" s="97" t="n">
        <x:f>AVERAGE(D196:F196)</x:f>
        <x:v>0.6526587816553729</x:v>
      </x:c>
      <x:c r="H196" s="67"/>
      <x:c r="I196" s="67"/>
      <x:c r="J196" s="67"/>
      <x:c r="K196" s="67"/>
      <x:c r="L196" s="67"/>
    </x:row>
    <x:row r="197" ht="24" customHeight="1">
      <x:c r="A197" s="67"/>
      <x:c r="B197" s="92" t="str">
        <x:v>Türkiye</x:v>
      </x:c>
      <x:c r="C197" s="92" t="str">
        <x:v>tev1:0.8b</x:v>
      </x:c>
      <x:c r="D197" s="97" t="n">
        <x:f>'Turkiye'!C117</x:f>
        <x:v>0.8633373607195597</x:v>
      </x:c>
      <x:c r="E197" s="97" t="n">
        <x:f>'Turkiye'!D117</x:f>
        <x:v>0.5977386934673367</x:v>
      </x:c>
      <x:c r="F197" s="97" t="n">
        <x:f>'Turkiye'!E117</x:f>
        <x:v>0.3756574004507889</x:v>
      </x:c>
      <x:c r="G197" s="97" t="n">
        <x:f>AVERAGE(D197:F197)</x:f>
        <x:v>0.6122444848792284</x:v>
      </x:c>
      <x:c r="H197" s="67"/>
      <x:c r="I197" s="67"/>
      <x:c r="J197" s="67"/>
      <x:c r="K197" s="67"/>
      <x:c r="L197" s="67"/>
    </x:row>
    <x:row r="198" ht="24" customHeight="1">
      <x:c r="A198" s="67"/>
      <x:c r="B198" s="92" t="str">
        <x:v>Türkiye</x:v>
      </x:c>
      <x:c r="C198" s="92" t="str">
        <x:v>tev1:4b</x:v>
      </x:c>
      <x:c r="D198" s="97" t="n">
        <x:f>'Turkiye'!C118</x:f>
        <x:v>0.8573164803111327</x:v>
      </x:c>
      <x:c r="E198" s="102" t="n">
        <x:f>'Turkiye'!D118</x:f>
        <x:v>0.7400505369551484</x:v>
      </x:c>
      <x:c r="F198" s="102" t="n">
        <x:f>'Turkiye'!E118</x:f>
        <x:v>0.479502196193265</x:v>
      </x:c>
      <x:c r="G198" s="102" t="n">
        <x:f>AVERAGE(D198:F198)</x:f>
        <x:v>0.6922897378198486</x:v>
      </x:c>
      <x:c r="H198" s="67"/>
      <x:c r="I198" s="67"/>
      <x:c r="J198" s="67"/>
      <x:c r="K198" s="67"/>
      <x:c r="L198" s="67"/>
    </x:row>
    <x:row r="199" ht="24" customHeight="1">
      <x:c r="A199" s="67"/>
      <x:c r="B199" s="92" t="str">
        <x:v>Türkiye</x:v>
      </x:c>
      <x:c r="C199" s="92" t="str">
        <x:v>typesafe/jev-1.13</x:v>
      </x:c>
      <x:c r="D199" s="102" t="n">
        <x:f>'Turkiye'!C119</x:f>
        <x:v>0.8939842844261239</x:v>
      </x:c>
      <x:c r="E199" s="97" t="n">
        <x:f>'Turkiye'!D119</x:f>
        <x:v>0.6212298339957915</x:v>
      </x:c>
      <x:c r="F199" s="97" t="n">
        <x:f>'Turkiye'!E119</x:f>
        <x:v>0.4</x:v>
      </x:c>
      <x:c r="G199" s="97" t="n">
        <x:f>AVERAGE(D199:F199)</x:f>
        <x:v>0.6384047061406384</x:v>
      </x:c>
      <x:c r="H199" s="67"/>
      <x:c r="I199" s="67"/>
      <x:c r="J199" s="67"/>
      <x:c r="K199" s="67"/>
      <x:c r="L199" s="67"/>
    </x:row>
    <x:row r="200" ht="24" customHeight="1">
      <x:c r="A200" s="67"/>
      <x:c r="B200" s="140" t="str">
        <x:v>Indonesian</x:v>
      </x:c>
      <x:c r="C200" s="140" t="str">
        <x:v>nimble:9b</x:v>
      </x:c>
      <x:c r="D200" s="144" t="n">
        <x:f>'Indonesian'!C116</x:f>
        <x:v>0.9289491525423728</x:v>
      </x:c>
      <x:c r="E200" s="144" t="n">
        <x:f>'Indonesian'!D116</x:f>
        <x:v>0.8714726108608015</x:v>
      </x:c>
      <x:c r="F200" s="149" t="n">
        <x:f>'Indonesian'!E116</x:f>
        <x:v>0.6797945205479452</x:v>
      </x:c>
      <x:c r="G200" s="149" t="n">
        <x:f>AVERAGE(D200:F200)</x:f>
        <x:v>0.8267387613170398</x:v>
      </x:c>
      <x:c r="H200" s="67"/>
      <x:c r="I200" s="67"/>
      <x:c r="J200" s="67"/>
      <x:c r="K200" s="67"/>
      <x:c r="L200" s="67"/>
    </x:row>
    <x:row r="201" ht="24" customHeight="1">
      <x:c r="A201" s="67"/>
      <x:c r="B201" s="92" t="str">
        <x:v>Indonesian</x:v>
      </x:c>
      <x:c r="C201" s="92" t="str">
        <x:v>tev1:0.8b</x:v>
      </x:c>
      <x:c r="D201" s="97" t="n">
        <x:f>'Indonesian'!C117</x:f>
        <x:v>0.9128832547169812</x:v>
      </x:c>
      <x:c r="E201" s="97" t="n">
        <x:f>'Indonesian'!D117</x:f>
        <x:v>0.8295918367346938</x:v>
      </x:c>
      <x:c r="F201" s="97" t="n">
        <x:f>'Indonesian'!E117</x:f>
        <x:v>0.3219844357976654</x:v>
      </x:c>
      <x:c r="G201" s="97" t="n">
        <x:f>AVERAGE(D201:F201)</x:f>
        <x:v>0.6881531757497802</x:v>
      </x:c>
      <x:c r="H201" s="67"/>
      <x:c r="I201" s="67"/>
      <x:c r="J201" s="67"/>
      <x:c r="K201" s="67"/>
      <x:c r="L201" s="67"/>
    </x:row>
    <x:row r="202" ht="24" customHeight="1">
      <x:c r="A202" s="67"/>
      <x:c r="B202" s="92" t="str">
        <x:v>Indonesian</x:v>
      </x:c>
      <x:c r="C202" s="92" t="str">
        <x:v>tev1:4b</x:v>
      </x:c>
      <x:c r="D202" s="97" t="n">
        <x:f>'Indonesian'!C118</x:f>
        <x:v>0.9489854244069734</x:v>
      </x:c>
      <x:c r="E202" s="102" t="n">
        <x:f>'Indonesian'!D118</x:f>
        <x:v>0.91619812583668</x:v>
      </x:c>
      <x:c r="F202" s="97" t="n">
        <x:f>'Indonesian'!E118</x:f>
        <x:v>0.4913665515540207</x:v>
      </x:c>
      <x:c r="G202" s="97" t="n">
        <x:f>AVERAGE(D202:F202)</x:f>
        <x:v>0.7855167005992247</x:v>
      </x:c>
      <x:c r="H202" s="67"/>
      <x:c r="I202" s="67"/>
      <x:c r="J202" s="67"/>
      <x:c r="K202" s="67"/>
      <x:c r="L202" s="67"/>
    </x:row>
    <x:row r="203" ht="24" customHeight="1">
      <x:c r="A203" s="67"/>
      <x:c r="B203" s="107" t="str">
        <x:v>Indonesian</x:v>
      </x:c>
      <x:c r="C203" s="107" t="str">
        <x:v>typesafe/jev-1.13</x:v>
      </x:c>
      <x:c r="D203" s="116" t="n">
        <x:f>'Indonesian'!C119</x:f>
        <x:v>0.9516474112109542</x:v>
      </x:c>
      <x:c r="E203" s="111" t="n">
        <x:f>'Indonesian'!D119</x:f>
        <x:v>0.8499115826702034</x:v>
      </x:c>
      <x:c r="F203" s="111" t="n">
        <x:f>'Indonesian'!E119</x:f>
        <x:v>0.6669387755102041</x:v>
      </x:c>
      <x:c r="G203" s="111" t="n">
        <x:f>AVERAGE(D203:F203)</x:f>
        <x:v>0.8228325897971205</x:v>
      </x:c>
      <x:c r="H203" s="67"/>
      <x:c r="I203" s="67"/>
      <x:c r="J203" s="67"/>
      <x:c r="K203" s="67"/>
      <x:c r="L203" s="67"/>
    </x:row>
    <x:row r="204" ht="24" customHeight="1">
      <x:c r="B204" s="140" t="str">
        <x:v>Bengali</x:v>
      </x:c>
      <x:c r="C204" s="140" t="str">
        <x:v>nimble:9b</x:v>
      </x:c>
      <x:c r="D204" s="144" t="n">
        <x:f>'Bengali'!C116</x:f>
        <x:v>0.0881726158763985</x:v>
      </x:c>
      <x:c r="E204" s="144" t="n">
        <x:f>'Bengali'!D116</x:f>
        <x:v>0.17828525641025642</x:v>
      </x:c>
      <x:c r="F204" s="144" t="n">
        <x:f>'Bengali'!E116</x:f>
        <x:v>0.3582461385151968</x:v>
      </x:c>
      <x:c r="G204" s="144" t="n">
        <x:f>'Bengali'!F116</x:f>
        <x:v>0.20823467026728393</x:v>
      </x:c>
    </x:row>
    <x:row r="205" ht="24" customHeight="1">
      <x:c r="B205" s="92" t="str">
        <x:v>Bengali</x:v>
      </x:c>
      <x:c r="C205" s="92" t="str">
        <x:v>tev1:0.8b</x:v>
      </x:c>
      <x:c r="D205" s="102" t="n">
        <x:f>'Bengali'!C117</x:f>
        <x:v>0.13784629133154602</x:v>
      </x:c>
      <x:c r="E205" s="102" t="n">
        <x:f>'Bengali'!D117</x:f>
        <x:v>0.21765461552578455</x:v>
      </x:c>
      <x:c r="F205" s="97" t="n">
        <x:f>'Bengali'!E117</x:f>
        <x:v>0.31957671957671957</x:v>
      </x:c>
      <x:c r="G205" s="102" t="n">
        <x:f>'Bengali'!F117</x:f>
        <x:v>0.2250258754780167</x:v>
      </x:c>
    </x:row>
    <x:row r="206" ht="24" customHeight="1">
      <x:c r="B206" s="92" t="str">
        <x:v>Bengali</x:v>
      </x:c>
      <x:c r="C206" s="92" t="str">
        <x:v>tev1:4b</x:v>
      </x:c>
      <x:c r="D206" s="97" t="n">
        <x:f>'Bengali'!C118</x:f>
        <x:v>0.08727477477477477</x:v>
      </x:c>
      <x:c r="E206" s="97" t="n">
        <x:f>'Bengali'!D118</x:f>
        <x:v>0.17313150425733206</x:v>
      </x:c>
      <x:c r="F206" s="97" t="n">
        <x:f>'Bengali'!E118</x:f>
        <x:v>0.35200803212851406</x:v>
      </x:c>
      <x:c r="G206" s="97" t="n">
        <x:f>'Bengali'!F118</x:f>
        <x:v>0.20413810372020694</x:v>
      </x:c>
    </x:row>
    <x:row r="207" ht="24" customHeight="1">
      <x:c r="B207" s="107" t="str">
        <x:v>Bengali</x:v>
      </x:c>
      <x:c r="C207" s="107" t="str">
        <x:v>typesafe/jev-1.13</x:v>
      </x:c>
      <x:c r="D207" s="111" t="n">
        <x:f>'Bengali'!C119</x:f>
        <x:v>0.06148778479275323</x:v>
      </x:c>
      <x:c r="E207" s="111" t="n">
        <x:f>'Bengali'!D119</x:f>
        <x:v>0.2053763440860215</x:v>
      </x:c>
      <x:c r="F207" s="116" t="n">
        <x:f>'Bengali'!E119</x:f>
        <x:v>0.4054468738013042</x:v>
      </x:c>
      <x:c r="G207" s="111" t="n">
        <x:f>'Bengali'!F119</x:f>
        <x:v>0.2241036675600263</x:v>
      </x:c>
    </x:row>
    <x:row r="208" ht="24" customHeight="1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</x:row>
    <x:row r="209" ht="24" customHeight="1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</x:row>
    <x:row r="210" ht="29" customHeight="1">
      <x:c r="A210" s="67"/>
      <x:c r="B210" s="72" t="str">
        <x:v>TABLE 12.</x:v>
      </x:c>
      <x:c r="C210" s="77" t="str">
        <x:v>Sentiment classification recall.</x:v>
      </x:c>
      <x:c r="D210"/>
      <x:c r="E210"/>
      <x:c r="F210"/>
      <x:c r="G210"/>
      <x:c r="H210" s="67"/>
      <x:c r="I210" s="67"/>
      <x:c r="J210" s="67"/>
      <x:c r="K210" s="67"/>
      <x:c r="L210" s="67"/>
    </x:row>
    <x:row r="211" ht="36" customHeight="1">
      <x:c r="A211" s="67"/>
      <x:c r="B211" s="163" t="str">
        <x:v>Türkiye: sentiment_tr, n = 12,760; Indonesian: sentiment, n = 12,760; Bengali: sentiment_bn, n = 12,760</x:v>
      </x:c>
      <x:c r="C211" s="61"/>
      <x:c r="D211" s="61"/>
      <x:c r="E211" s="61"/>
      <x:c r="F211" s="61"/>
      <x:c r="G211" s="61"/>
      <x:c r="H211" s="67"/>
      <x:c r="I211" s="67"/>
      <x:c r="J211" s="67"/>
      <x:c r="K211" s="67"/>
      <x:c r="L211" s="67"/>
    </x:row>
    <x:row r="212" ht="9" customHeight="1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</x:row>
    <x:row r="213" ht="42" customHeight="1">
      <x:c r="A213" s="67"/>
      <x:c r="B213" s="88" t="str">
        <x:v>Country</x:v>
      </x:c>
      <x:c r="C213" s="88" t="str">
        <x:v>Model</x:v>
      </x:c>
      <x:c r="D213" s="90" t="str">
        <x:v>positive</x:v>
      </x:c>
      <x:c r="E213" s="90" t="str">
        <x:v>negative</x:v>
      </x:c>
      <x:c r="F213" s="90" t="str">
        <x:v>neutral</x:v>
      </x:c>
      <x:c r="G213" s="90" t="str">
        <x:v>Macro-
Recall</x:v>
      </x:c>
      <x:c r="H213" s="67"/>
      <x:c r="I213" s="67"/>
      <x:c r="J213" s="67"/>
      <x:c r="K213" s="67"/>
      <x:c r="L213" s="67"/>
    </x:row>
    <x:row r="214" ht="24" customHeight="1">
      <x:c r="A214" s="67"/>
      <x:c r="B214" s="92" t="str">
        <x:v>Türkiye</x:v>
      </x:c>
      <x:c r="C214" s="92" t="str">
        <x:v>nimble:9b</x:v>
      </x:c>
      <x:c r="D214" s="102" t="n">
        <x:f>'Turkiye'!C126</x:f>
        <x:v>0.9292638197537333</x:v>
      </x:c>
      <x:c r="E214" s="97" t="n">
        <x:f>'Turkiye'!D126</x:f>
        <x:v>0.8398637137989778</x:v>
      </x:c>
      <x:c r="F214" s="97" t="n">
        <x:f>'Turkiye'!E126</x:f>
        <x:v>0.15700593336376084</x:v>
      </x:c>
      <x:c r="G214" s="97" t="n">
        <x:f>AVERAGE(D214:F214)</x:f>
        <x:v>0.6420444889721573</x:v>
      </x:c>
      <x:c r="H214" s="67"/>
      <x:c r="I214" s="67"/>
      <x:c r="J214" s="67"/>
      <x:c r="K214" s="67"/>
      <x:c r="L214" s="67"/>
    </x:row>
    <x:row r="215" ht="24" customHeight="1">
      <x:c r="A215" s="67"/>
      <x:c r="B215" s="92" t="str">
        <x:v>Türkiye</x:v>
      </x:c>
      <x:c r="C215" s="92" t="str">
        <x:v>tev1:0.8b</x:v>
      </x:c>
      <x:c r="D215" s="97" t="n">
        <x:f>'Turkiye'!C127</x:f>
        <x:v>0.8424155095624837</x:v>
      </x:c>
      <x:c r="E215" s="97" t="n">
        <x:f>'Turkiye'!D127</x:f>
        <x:v>0.8105621805792164</x:v>
      </x:c>
      <x:c r="F215" s="97" t="n">
        <x:f>'Turkiye'!E127</x:f>
        <x:v>0.22820629849383842</x:v>
      </x:c>
      <x:c r="G215" s="97" t="n">
        <x:f>AVERAGE(D215:F215)</x:f>
        <x:v>0.6270613295451796</x:v>
      </x:c>
      <x:c r="H215" s="67"/>
      <x:c r="I215" s="67"/>
      <x:c r="J215" s="67"/>
      <x:c r="K215" s="67"/>
      <x:c r="L215" s="67"/>
    </x:row>
    <x:row r="216" ht="24" customHeight="1">
      <x:c r="A216" s="67"/>
      <x:c r="B216" s="92" t="str">
        <x:v>Türkiye</x:v>
      </x:c>
      <x:c r="C216" s="92" t="str">
        <x:v>tev1:4b</x:v>
      </x:c>
      <x:c r="D216" s="97" t="n">
        <x:f>'Turkiye'!C128</x:f>
        <x:v>0.9240241026984543</x:v>
      </x:c>
      <x:c r="E216" s="97" t="n">
        <x:f>'Turkiye'!D128</x:f>
        <x:v>0.7982964224872232</x:v>
      </x:c>
      <x:c r="F216" s="102" t="n">
        <x:f>'Turkiye'!E128</x:f>
        <x:v>0.29895025102692835</x:v>
      </x:c>
      <x:c r="G216" s="102" t="n">
        <x:f>AVERAGE(D216:F216)</x:f>
        <x:v>0.6737569254042018</x:v>
      </x:c>
      <x:c r="H216" s="67"/>
      <x:c r="I216" s="67"/>
      <x:c r="J216" s="67"/>
      <x:c r="K216" s="67"/>
      <x:c r="L216" s="67"/>
    </x:row>
    <x:row r="217" ht="24" customHeight="1">
      <x:c r="A217" s="67"/>
      <x:c r="B217" s="92" t="str">
        <x:v>Türkiye</x:v>
      </x:c>
      <x:c r="C217" s="92" t="str">
        <x:v>typesafe/jev-1.13</x:v>
      </x:c>
      <x:c r="D217" s="97" t="n">
        <x:f>'Turkiye'!C129</x:f>
        <x:v>0.9090909090909091</x:v>
      </x:c>
      <x:c r="E217" s="102" t="n">
        <x:f>'Turkiye'!D129</x:f>
        <x:v>0.9052810902896081</x:v>
      </x:c>
      <x:c r="F217" s="97" t="n">
        <x:f>'Turkiye'!E129</x:f>
        <x:v>0.13144682793245094</x:v>
      </x:c>
      <x:c r="G217" s="97" t="n">
        <x:f>AVERAGE(D217:F217)</x:f>
        <x:v>0.6486062757709894</x:v>
      </x:c>
      <x:c r="H217" s="67"/>
      <x:c r="I217" s="67"/>
      <x:c r="J217" s="67"/>
      <x:c r="K217" s="67"/>
      <x:c r="L217" s="67"/>
    </x:row>
    <x:row r="218" ht="24" customHeight="1">
      <x:c r="A218" s="67"/>
      <x:c r="B218" s="140" t="str">
        <x:v>Indonesian</x:v>
      </x:c>
      <x:c r="C218" s="140" t="str">
        <x:v>nimble:9b</x:v>
      </x:c>
      <x:c r="D218" s="149" t="n">
        <x:f>'Indonesian'!C126</x:f>
        <x:v>0.9309688816415274</x:v>
      </x:c>
      <x:c r="E218" s="144" t="n">
        <x:f>'Indonesian'!D126</x:f>
        <x:v>0.9110064452156668</x:v>
      </x:c>
      <x:c r="F218" s="144" t="n">
        <x:f>'Indonesian'!E126</x:f>
        <x:v>0.5808339429407462</x:v>
      </x:c>
      <x:c r="G218" s="144" t="n">
        <x:f>AVERAGE(D218:F218)</x:f>
        <x:v>0.8076030899326468</x:v>
      </x:c>
      <x:c r="H218" s="67"/>
      <x:c r="I218" s="67"/>
      <x:c r="J218" s="67"/>
      <x:c r="K218" s="67"/>
      <x:c r="L218" s="67"/>
    </x:row>
    <x:row r="219" ht="24" customHeight="1">
      <x:c r="A219" s="67"/>
      <x:c r="B219" s="92" t="str">
        <x:v>Indonesian</x:v>
      </x:c>
      <x:c r="C219" s="92" t="str">
        <x:v>tev1:0.8b</x:v>
      </x:c>
      <x:c r="D219" s="97" t="n">
        <x:f>'Indonesian'!C127</x:f>
        <x:v>0.8415545590433483</x:v>
      </x:c>
      <x:c r="E219" s="97" t="n">
        <x:f>'Indonesian'!D127</x:f>
        <x:v>0.8061477441745166</x:v>
      </x:c>
      <x:c r="F219" s="97" t="n">
        <x:f>'Indonesian'!E127</x:f>
        <x:v>0.4842721287490856</x:v>
      </x:c>
      <x:c r="G219" s="97" t="n">
        <x:f>AVERAGE(D219:F219)</x:f>
        <x:v>0.7106581439889834</x:v>
      </x:c>
      <x:c r="H219" s="67"/>
      <x:c r="I219" s="67"/>
      <x:c r="J219" s="67"/>
      <x:c r="K219" s="67"/>
      <x:c r="L219" s="67"/>
    </x:row>
    <x:row r="220" ht="24" customHeight="1">
      <x:c r="A220" s="67"/>
      <x:c r="B220" s="92" t="str">
        <x:v>Indonesian</x:v>
      </x:c>
      <x:c r="C220" s="92" t="str">
        <x:v>tev1:4b</x:v>
      </x:c>
      <x:c r="D220" s="97" t="n">
        <x:f>'Indonesian'!C128</x:f>
        <x:v>0.9024323957059384</x:v>
      </x:c>
      <x:c r="E220" s="97" t="n">
        <x:f>'Indonesian'!D128</x:f>
        <x:v>0.8482895389191869</x:v>
      </x:c>
      <x:c r="F220" s="102" t="n">
        <x:f>'Indonesian'!E128</x:f>
        <x:v>0.7286027798098025</x:v>
      </x:c>
      <x:c r="G220" s="102" t="n">
        <x:f>AVERAGE(D220:F220)</x:f>
        <x:v>0.8264415714783092</x:v>
      </x:c>
      <x:c r="H220" s="67"/>
      <x:c r="I220" s="67"/>
      <x:c r="J220" s="67"/>
      <x:c r="K220" s="67"/>
      <x:c r="L220" s="67"/>
    </x:row>
    <x:row r="221" ht="24" customHeight="1">
      <x:c r="A221" s="67"/>
      <x:c r="B221" s="107" t="str">
        <x:v>Indonesian</x:v>
      </x:c>
      <x:c r="C221" s="107" t="str">
        <x:v>typesafe/jev-1.13</x:v>
      </x:c>
      <x:c r="D221" s="111" t="n">
        <x:f>'Indonesian'!C129</x:f>
        <x:v>0.9066449245821444</x:v>
      </x:c>
      <x:c r="E221" s="116" t="n">
        <x:f>'Indonesian'!D129</x:f>
        <x:v>0.9531482399603372</x:v>
      </x:c>
      <x:c r="F221" s="111" t="n">
        <x:f>'Indonesian'!E129</x:f>
        <x:v>0.5976591075347476</x:v>
      </x:c>
      <x:c r="G221" s="111" t="n">
        <x:f>AVERAGE(D221:F221)</x:f>
        <x:v>0.8191507573590764</x:v>
      </x:c>
      <x:c r="H221" s="67"/>
      <x:c r="I221" s="67"/>
      <x:c r="J221" s="67"/>
      <x:c r="K221" s="67"/>
      <x:c r="L221" s="67"/>
    </x:row>
    <x:row r="222" ht="24" customHeight="1">
      <x:c r="B222" s="140" t="str">
        <x:v>Bengali</x:v>
      </x:c>
      <x:c r="C222" s="140" t="str">
        <x:v>nimble:9b</x:v>
      </x:c>
      <x:c r="D222" s="144" t="n">
        <x:f>'Bengali'!C126</x:f>
        <x:v>0.0717692974848222</x:v>
      </x:c>
      <x:c r="E222" s="144" t="n">
        <x:f>'Bengali'!D126</x:f>
        <x:v>0.3028240898264716</x:v>
      </x:c>
      <x:c r="F222" s="144" t="n">
        <x:f>'Bengali'!E126</x:f>
        <x:v>0.27606066423497794</x:v>
      </x:c>
      <x:c r="G222" s="144" t="n">
        <x:f>'Bengali'!F126</x:f>
        <x:v>0.21688468384875725</x:v>
      </x:c>
    </x:row>
    <x:row r="223" ht="24" customHeight="1">
      <x:c r="B223" s="92" t="str">
        <x:v>Bengali</x:v>
      </x:c>
      <x:c r="C223" s="92" t="str">
        <x:v>tev1:0.8b</x:v>
      </x:c>
      <x:c r="D223" s="102" t="n">
        <x:f>'Bengali'!C127</x:f>
        <x:v>0.13378143972246315</x:v>
      </x:c>
      <x:c r="E223" s="97" t="n">
        <x:f>'Bengali'!D127</x:f>
        <x:v>0.40353861857774753</x:v>
      </x:c>
      <x:c r="F223" s="97" t="n">
        <x:f>'Bengali'!E127</x:f>
        <x:v>0.17392973699366482</x:v>
      </x:c>
      <x:c r="G223" s="102" t="n">
        <x:f>'Bengali'!F127</x:f>
        <x:v>0.2370832650979585</x:v>
      </x:c>
    </x:row>
    <x:row r="224" ht="24" customHeight="1">
      <x:c r="B224" s="92" t="str">
        <x:v>Bengali</x:v>
      </x:c>
      <x:c r="C224" s="92" t="str">
        <x:v>tev1:4b</x:v>
      </x:c>
      <x:c r="D224" s="97" t="n">
        <x:f>'Bengali'!C128</x:f>
        <x:v>0.06721595836947095</x:v>
      </x:c>
      <x:c r="E224" s="97" t="n">
        <x:f>'Bengali'!D128</x:f>
        <x:v>0.24906430758761483</x:v>
      </x:c>
      <x:c r="F224" s="102" t="n">
        <x:f>'Bengali'!E128</x:f>
        <x:v>0.33653292378575544</x:v>
      </x:c>
      <x:c r="G224" s="97" t="n">
        <x:f>'Bengali'!F128</x:f>
        <x:v>0.2176043965809471</x:v>
      </x:c>
    </x:row>
    <x:row r="225" ht="24" customHeight="1">
      <x:c r="B225" s="107" t="str">
        <x:v>Bengali</x:v>
      </x:c>
      <x:c r="C225" s="107" t="str">
        <x:v>typesafe/jev-1.13</x:v>
      </x:c>
      <x:c r="D225" s="111" t="n">
        <x:f>'Bengali'!C129</x:f>
        <x:v>0.04856895056374675</x:v>
      </x:c>
      <x:c r="E225" s="116" t="n">
        <x:f>'Bengali'!D129</x:f>
        <x:v>0.45491663831235113</x:v>
      </x:c>
      <x:c r="F225" s="111" t="n">
        <x:f>'Bengali'!E129</x:f>
        <x:v>0.20291802649260895</x:v>
      </x:c>
      <x:c r="G225" s="111" t="n">
        <x:f>'Bengali'!F129</x:f>
        <x:v>0.23546787178956893</x:v>
      </x:c>
    </x:row>
    <x:row r="226" ht="24" customHeight="1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</x:row>
    <x:row r="227" ht="24" customHeight="1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</x:row>
    <x:row r="228" ht="29" customHeight="1">
      <x:c r="A228" s="67"/>
      <x:c r="B228" s="72" t="str">
        <x:v>TABLE 13.</x:v>
      </x:c>
      <x:c r="C228" s="77" t="str">
        <x:v>Sentiment classification F1.</x:v>
      </x:c>
      <x:c r="D228"/>
      <x:c r="E228"/>
      <x:c r="F228"/>
      <x:c r="G228"/>
      <x:c r="H228" s="67"/>
      <x:c r="I228" s="67"/>
      <x:c r="J228" s="67"/>
      <x:c r="K228" s="67"/>
      <x:c r="L228" s="67"/>
    </x:row>
    <x:row r="229" ht="36" customHeight="1">
      <x:c r="A229" s="67"/>
      <x:c r="B229" s="163" t="str">
        <x:v>Türkiye: sentiment_tr, n = 12,760; Indonesian: sentiment, n = 12,760; Bengali: sentiment_bn, n = 12,760</x:v>
      </x:c>
      <x:c r="C229" s="61"/>
      <x:c r="D229" s="61"/>
      <x:c r="E229" s="61"/>
      <x:c r="F229" s="61"/>
      <x:c r="G229" s="61"/>
      <x:c r="H229" s="67"/>
      <x:c r="I229" s="67"/>
      <x:c r="J229" s="67"/>
      <x:c r="K229" s="67"/>
      <x:c r="L229" s="67"/>
    </x:row>
    <x:row r="230" ht="9" customHeight="1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</x:row>
    <x:row r="231" ht="42" customHeight="1">
      <x:c r="A231" s="67"/>
      <x:c r="B231" s="88" t="str">
        <x:v>Country</x:v>
      </x:c>
      <x:c r="C231" s="88" t="str">
        <x:v>Model</x:v>
      </x:c>
      <x:c r="D231" s="90" t="str">
        <x:v>positive</x:v>
      </x:c>
      <x:c r="E231" s="90" t="str">
        <x:v>negative</x:v>
      </x:c>
      <x:c r="F231" s="90" t="str">
        <x:v>neutral</x:v>
      </x:c>
      <x:c r="G231" s="90" t="str">
        <x:v>Macro-F1</x:v>
      </x:c>
      <x:c r="H231" s="67"/>
      <x:c r="I231" s="67"/>
      <x:c r="J231" s="67"/>
      <x:c r="K231" s="67"/>
      <x:c r="L231" s="67"/>
    </x:row>
    <x:row r="232" ht="24" customHeight="1">
      <x:c r="A232" s="67"/>
      <x:c r="B232" s="92" t="str">
        <x:v>Türkiye</x:v>
      </x:c>
      <x:c r="C232" s="92" t="str">
        <x:v>nimble:9b</x:v>
      </x:c>
      <x:c r="D232" s="97" t="n">
        <x:f>'Turkiye'!C136</x:f>
        <x:v>0.8836571998006976</x:v>
      </x:c>
      <x:c r="E232" s="97" t="n">
        <x:f>'Turkiye'!D136</x:f>
        <x:v>0.7657657657657657</x:v>
      </x:c>
      <x:c r="F232" s="97" t="n">
        <x:f>'Turkiye'!E136</x:f>
        <x:v>0.22736285525446134</x:v>
      </x:c>
      <x:c r="G232" s="97" t="n">
        <x:f>AVERAGE(D232:F232)</x:f>
        <x:v>0.6255952736069749</x:v>
      </x:c>
      <x:c r="H232" s="67"/>
      <x:c r="I232" s="67"/>
      <x:c r="J232" s="67"/>
      <x:c r="K232" s="67"/>
      <x:c r="L232" s="67"/>
    </x:row>
    <x:row r="233" ht="24" customHeight="1">
      <x:c r="A233" s="67"/>
      <x:c r="B233" s="92" t="str">
        <x:v>Türkiye</x:v>
      </x:c>
      <x:c r="C233" s="92" t="str">
        <x:v>tev1:0.8b</x:v>
      </x:c>
      <x:c r="D233" s="97" t="n">
        <x:f>'Turkiye'!C137</x:f>
        <x:v>0.8527481270304316</x:v>
      </x:c>
      <x:c r="E233" s="97" t="n">
        <x:f>'Turkiye'!D137</x:f>
        <x:v>0.6880694143167028</x:v>
      </x:c>
      <x:c r="F233" s="97" t="n">
        <x:f>'Turkiye'!E137</x:f>
        <x:v>0.2839295854628052</x:v>
      </x:c>
      <x:c r="G233" s="97" t="n">
        <x:f>AVERAGE(D233:F233)</x:f>
        <x:v>0.6082490422699799</x:v>
      </x:c>
      <x:c r="H233" s="67"/>
      <x:c r="I233" s="67"/>
      <x:c r="J233" s="67"/>
      <x:c r="K233" s="67"/>
      <x:c r="L233" s="67"/>
    </x:row>
    <x:row r="234" ht="24" customHeight="1">
      <x:c r="A234" s="67"/>
      <x:c r="B234" s="92" t="str">
        <x:v>Türkiye</x:v>
      </x:c>
      <x:c r="C234" s="92" t="str">
        <x:v>tev1:4b</x:v>
      </x:c>
      <x:c r="D234" s="97" t="n">
        <x:f>'Turkiye'!C138</x:f>
        <x:v>0.8894212583532972</x:v>
      </x:c>
      <x:c r="E234" s="102" t="n">
        <x:f>'Turkiye'!D138</x:f>
        <x:v>0.7680708080642518</x:v>
      </x:c>
      <x:c r="F234" s="102" t="n">
        <x:f>'Turkiye'!E138</x:f>
        <x:v>0.3682878830475119</x:v>
      </x:c>
      <x:c r="G234" s="102" t="n">
        <x:f>AVERAGE(D234:F234)</x:f>
        <x:v>0.6752599831550202</x:v>
      </x:c>
      <x:c r="H234" s="67"/>
      <x:c r="I234" s="67"/>
      <x:c r="J234" s="67"/>
      <x:c r="K234" s="67"/>
      <x:c r="L234" s="67"/>
    </x:row>
    <x:row r="235" ht="24" customHeight="1">
      <x:c r="A235" s="67"/>
      <x:c r="B235" s="92" t="str">
        <x:v>Türkiye</x:v>
      </x:c>
      <x:c r="C235" s="92" t="str">
        <x:v>typesafe/jev-1.13</x:v>
      </x:c>
      <x:c r="D235" s="102" t="n">
        <x:f>'Turkiye'!C139</x:f>
        <x:v>0.9014743131778918</x:v>
      </x:c>
      <x:c r="E235" s="97" t="n">
        <x:f>'Turkiye'!D139</x:f>
        <x:v>0.7368275097060455</x:v>
      </x:c>
      <x:c r="F235" s="97" t="n">
        <x:f>'Turkiye'!E139</x:f>
        <x:v>0.19787014771556166</x:v>
      </x:c>
      <x:c r="G235" s="97" t="n">
        <x:f>AVERAGE(D235:F235)</x:f>
        <x:v>0.6120573235331662</x:v>
      </x:c>
      <x:c r="H235" s="67"/>
      <x:c r="I235" s="67"/>
      <x:c r="J235" s="67"/>
      <x:c r="K235" s="67"/>
      <x:c r="L235" s="67"/>
    </x:row>
    <x:row r="236" ht="24" customHeight="1">
      <x:c r="A236" s="67"/>
      <x:c r="B236" s="140" t="str">
        <x:v>Indonesian</x:v>
      </x:c>
      <x:c r="C236" s="140" t="str">
        <x:v>nimble:9b</x:v>
      </x:c>
      <x:c r="D236" s="149" t="n">
        <x:f>'Indonesian'!C136</x:f>
        <x:v>0.929957920456088</x:v>
      </x:c>
      <x:c r="E236" s="144" t="n">
        <x:f>'Indonesian'!D136</x:f>
        <x:v>0.8908011150163616</x:v>
      </x:c>
      <x:c r="F236" s="144" t="n">
        <x:f>'Indonesian'!E136</x:f>
        <x:v>0.6264299802761342</x:v>
      </x:c>
      <x:c r="G236" s="144" t="n">
        <x:f>AVERAGE(D236:F236)</x:f>
        <x:v>0.8157296719161945</x:v>
      </x:c>
      <x:c r="H236" s="67"/>
      <x:c r="I236" s="67"/>
      <x:c r="J236" s="67"/>
      <x:c r="K236" s="67"/>
      <x:c r="L236" s="67"/>
    </x:row>
    <x:row r="237" ht="24" customHeight="1">
      <x:c r="A237" s="67"/>
      <x:c r="B237" s="92" t="str">
        <x:v>Indonesian</x:v>
      </x:c>
      <x:c r="C237" s="92" t="str">
        <x:v>tev1:0.8b</x:v>
      </x:c>
      <x:c r="D237" s="97" t="n">
        <x:f>'Indonesian'!C137</x:f>
        <x:v>0.8757689316269532</x:v>
      </x:c>
      <x:c r="E237" s="97" t="n">
        <x:f>'Indonesian'!D137</x:f>
        <x:v>0.8177017852652754</x:v>
      </x:c>
      <x:c r="F237" s="97" t="n">
        <x:f>'Indonesian'!E137</x:f>
        <x:v>0.3867952088810985</x:v>
      </x:c>
      <x:c r="G237" s="97" t="n">
        <x:f>AVERAGE(D237:F237)</x:f>
        <x:v>0.6934219752577757</x:v>
      </x:c>
      <x:c r="H237" s="67"/>
      <x:c r="I237" s="67"/>
      <x:c r="J237" s="67"/>
      <x:c r="K237" s="67"/>
      <x:c r="L237" s="67"/>
    </x:row>
    <x:row r="238" ht="24" customHeight="1">
      <x:c r="A238" s="67"/>
      <x:c r="B238" s="92" t="str">
        <x:v>Indonesian</x:v>
      </x:c>
      <x:c r="C238" s="92" t="str">
        <x:v>tev1:4b</x:v>
      </x:c>
      <x:c r="D238" s="97" t="n">
        <x:f>'Indonesian'!C138</x:f>
        <x:v>0.9251236330709758</x:v>
      </x:c>
      <x:c r="E238" s="97" t="n">
        <x:f>'Indonesian'!D138</x:f>
        <x:v>0.8809370575363624</x:v>
      </x:c>
      <x:c r="F238" s="97" t="n">
        <x:f>'Indonesian'!E138</x:f>
        <x:v>0.5869180907483795</x:v>
      </x:c>
      <x:c r="G238" s="97" t="n">
        <x:f>AVERAGE(D238:F238)</x:f>
        <x:v>0.7976595937852392</x:v>
      </x:c>
      <x:c r="H238" s="67"/>
      <x:c r="I238" s="67"/>
      <x:c r="J238" s="67"/>
      <x:c r="K238" s="67"/>
      <x:c r="L238" s="67"/>
    </x:row>
    <x:row r="239" ht="24" customHeight="1">
      <x:c r="A239" s="67"/>
      <x:c r="B239" s="107" t="str">
        <x:v>Indonesian</x:v>
      </x:c>
      <x:c r="C239" s="107" t="str">
        <x:v>typesafe/jev-1.13</x:v>
      </x:c>
      <x:c r="D239" s="111" t="n">
        <x:f>'Indonesian'!C139</x:f>
        <x:v>0.9286012526096034</x:v>
      </x:c>
      <x:c r="E239" s="116" t="n">
        <x:f>'Indonesian'!D139</x:f>
        <x:v>0.8985744332788035</x:v>
      </x:c>
      <x:c r="F239" s="116" t="n">
        <x:f>'Indonesian'!E139</x:f>
        <x:v>0.6304012345679012</x:v>
      </x:c>
      <x:c r="G239" s="116" t="n">
        <x:f>AVERAGE(D239:F239)</x:f>
        <x:v>0.8191923068187693</x:v>
      </x:c>
      <x:c r="H239" s="67"/>
      <x:c r="I239" s="67"/>
      <x:c r="J239" s="67"/>
      <x:c r="K239" s="67"/>
      <x:c r="L239" s="67"/>
    </x:row>
    <x:row r="240" ht="24" customHeight="1">
      <x:c r="B240" s="140" t="str">
        <x:v>Bengali</x:v>
      </x:c>
      <x:c r="C240" s="140" t="str">
        <x:v>nimble:9b</x:v>
      </x:c>
      <x:c r="D240" s="144" t="n">
        <x:f>'Bengali'!C136</x:f>
        <x:v>0.07912981114032991</x:v>
      </x:c>
      <x:c r="E240" s="144" t="n">
        <x:f>'Bengali'!D136</x:f>
        <x:v>0.22443575841634095</x:v>
      </x:c>
      <x:c r="F240" s="144" t="n">
        <x:f>'Bengali'!E136</x:f>
        <x:v>0.31182912284506126</x:v>
      </x:c>
      <x:c r="G240" s="144" t="n">
        <x:f>'Bengali'!F136</x:f>
        <x:v>0.20513156413391073</x:v>
      </x:c>
    </x:row>
    <x:row r="241" ht="24" customHeight="1">
      <x:c r="B241" s="92" t="str">
        <x:v>Bengali</x:v>
      </x:c>
      <x:c r="C241" s="92" t="str">
        <x:v>tev1:0.8b</x:v>
      </x:c>
      <x:c r="D241" s="102" t="n">
        <x:f>'Bengali'!C137</x:f>
        <x:v>0.13578345070422534</x:v>
      </x:c>
      <x:c r="E241" s="97" t="n">
        <x:f>'Bengali'!D137</x:f>
        <x:v>0.2827849308536004</x:v>
      </x:c>
      <x:c r="F241" s="97" t="n">
        <x:f>'Bengali'!E137</x:f>
        <x:v>0.22526106414719047</x:v>
      </x:c>
      <x:c r="G241" s="102" t="n">
        <x:f>'Bengali'!F137</x:f>
        <x:v>0.2146098152350054</x:v>
      </x:c>
    </x:row>
    <x:row r="242" ht="24" customHeight="1">
      <x:c r="B242" s="92" t="str">
        <x:v>Bengali</x:v>
      </x:c>
      <x:c r="C242" s="92" t="str">
        <x:v>tev1:4b</x:v>
      </x:c>
      <x:c r="D242" s="97" t="n">
        <x:f>'Bengali'!C138</x:f>
        <x:v>0.07594316511513964</x:v>
      </x:c>
      <x:c r="E242" s="97" t="n">
        <x:f>'Bengali'!D138</x:f>
        <x:v>0.20426956885726244</x:v>
      </x:c>
      <x:c r="F242" s="102" t="n">
        <x:f>'Bengali'!E138</x:f>
        <x:v>0.34409657473746197</x:v>
      </x:c>
      <x:c r="G242" s="97" t="n">
        <x:f>'Bengali'!F138</x:f>
        <x:v>0.20810310290328804</x:v>
      </x:c>
    </x:row>
    <x:row r="243" ht="24" customHeight="1">
      <x:c r="B243" s="107" t="str">
        <x:v>Bengali</x:v>
      </x:c>
      <x:c r="C243" s="107" t="str">
        <x:v>typesafe/jev-1.13</x:v>
      </x:c>
      <x:c r="D243" s="111" t="n">
        <x:f>'Bengali'!C139</x:f>
        <x:v>0.054270139309509385</x:v>
      </x:c>
      <x:c r="E243" s="116" t="n">
        <x:f>'Bengali'!D139</x:f>
        <x:v>0.2829929093025717</x:v>
      </x:c>
      <x:c r="F243" s="111" t="n">
        <x:f>'Bengali'!E139</x:f>
        <x:v>0.2704708290685773</x:v>
      </x:c>
      <x:c r="G243" s="111" t="n">
        <x:f>'Bengali'!F139</x:f>
        <x:v>0.20257795922688615</x:v>
      </x:c>
    </x:row>
    <x:row r="244" ht="24" customHeight="1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</x:row>
    <x:row r="245" ht="24" customHeight="1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</x:row>
    <x:row r="246" ht="29" customHeight="1">
      <x:c r="A246" s="67"/>
      <x:c r="B246" s="72" t="str">
        <x:v>TABLE 14.</x:v>
      </x:c>
      <x:c r="C246" s="77" t="str">
        <x:v>Sentiment classification support.</x:v>
      </x:c>
      <x:c r="D246"/>
      <x:c r="E246"/>
      <x:c r="F246"/>
      <x:c r="G246"/>
      <x:c r="H246" s="67"/>
      <x:c r="I246" s="67"/>
      <x:c r="J246" s="67"/>
      <x:c r="K246" s="67"/>
      <x:c r="L246" s="67"/>
    </x:row>
    <x:row r="247" ht="36" customHeight="1">
      <x:c r="A247" s="67"/>
      <x:c r="B247" s="163" t="str">
        <x:v>Türkiye: sentiment_tr, n = 12,760; Indonesian: sentiment, n = 12,760; Bengali: sentiment_bn, n = 12,760</x:v>
      </x:c>
      <x:c r="C247" s="61"/>
      <x:c r="D247" s="61"/>
      <x:c r="E247" s="61"/>
      <x:c r="F247" s="61"/>
      <x:c r="G247" s="61"/>
      <x:c r="H247" s="67"/>
      <x:c r="I247" s="67"/>
      <x:c r="J247" s="67"/>
      <x:c r="K247" s="67"/>
      <x:c r="L247" s="67"/>
    </x:row>
    <x:row r="248" ht="9" customHeight="1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</x:row>
    <x:row r="249" ht="42" customHeight="1">
      <x:c r="A249" s="67"/>
      <x:c r="B249" s="88" t="str">
        <x:v>Country</x:v>
      </x:c>
      <x:c r="C249" s="88" t="str">
        <x:v>Model</x:v>
      </x:c>
      <x:c r="D249" s="90" t="str">
        <x:v>positive</x:v>
      </x:c>
      <x:c r="E249" s="90" t="str">
        <x:v>negative</x:v>
      </x:c>
      <x:c r="F249" s="90" t="str">
        <x:v>neutral</x:v>
      </x:c>
      <x:c r="G249" s="90" t="str">
        <x:v>Total</x:v>
      </x:c>
      <x:c r="H249" s="67"/>
      <x:c r="I249" s="67"/>
      <x:c r="J249" s="67"/>
      <x:c r="K249" s="67"/>
      <x:c r="L249" s="67"/>
    </x:row>
    <x:row r="250" ht="24" customHeight="1">
      <x:c r="A250" s="67"/>
      <x:c r="B250" s="92" t="str">
        <x:v>Türkiye</x:v>
      </x:c>
      <x:c r="C250" s="92" t="str">
        <x:v>nimble:9b</x:v>
      </x:c>
      <x:c r="D250" s="128" t="n">
        <x:f>'Turkiye'!C146</x:f>
        <x:v>7634</x:v>
      </x:c>
      <x:c r="E250" s="128" t="n">
        <x:f>'Turkiye'!D146</x:f>
        <x:v>2935</x:v>
      </x:c>
      <x:c r="F250" s="128" t="n">
        <x:f>'Turkiye'!E146</x:f>
        <x:v>2191</x:v>
      </x:c>
      <x:c r="G250" s="128" t="n">
        <x:f>SUM(D250:F250)</x:f>
        <x:v>12760</x:v>
      </x:c>
      <x:c r="H250" s="67"/>
      <x:c r="I250" s="67"/>
      <x:c r="J250" s="67"/>
      <x:c r="K250" s="67"/>
      <x:c r="L250" s="67"/>
    </x:row>
    <x:row r="251" ht="24" customHeight="1">
      <x:c r="A251" s="67"/>
      <x:c r="B251" s="92" t="str">
        <x:v>Türkiye</x:v>
      </x:c>
      <x:c r="C251" s="92" t="str">
        <x:v>tev1:0.8b</x:v>
      </x:c>
      <x:c r="D251" s="128" t="n">
        <x:f>'Turkiye'!C147</x:f>
        <x:v>7634</x:v>
      </x:c>
      <x:c r="E251" s="128" t="n">
        <x:f>'Turkiye'!D147</x:f>
        <x:v>2935</x:v>
      </x:c>
      <x:c r="F251" s="128" t="n">
        <x:f>'Turkiye'!E147</x:f>
        <x:v>2191</x:v>
      </x:c>
      <x:c r="G251" s="128" t="n">
        <x:f>SUM(D251:F251)</x:f>
        <x:v>12760</x:v>
      </x:c>
      <x:c r="H251" s="67"/>
      <x:c r="I251" s="67"/>
      <x:c r="J251" s="67"/>
      <x:c r="K251" s="67"/>
      <x:c r="L251" s="67"/>
    </x:row>
    <x:row r="252" ht="24" customHeight="1">
      <x:c r="A252" s="67"/>
      <x:c r="B252" s="92" t="str">
        <x:v>Türkiye</x:v>
      </x:c>
      <x:c r="C252" s="92" t="str">
        <x:v>tev1:4b</x:v>
      </x:c>
      <x:c r="D252" s="128" t="n">
        <x:f>'Turkiye'!C148</x:f>
        <x:v>7634</x:v>
      </x:c>
      <x:c r="E252" s="128" t="n">
        <x:f>'Turkiye'!D148</x:f>
        <x:v>2935</x:v>
      </x:c>
      <x:c r="F252" s="128" t="n">
        <x:f>'Turkiye'!E148</x:f>
        <x:v>2191</x:v>
      </x:c>
      <x:c r="G252" s="128" t="n">
        <x:f>SUM(D252:F252)</x:f>
        <x:v>12760</x:v>
      </x:c>
      <x:c r="H252" s="67"/>
      <x:c r="I252" s="67"/>
      <x:c r="J252" s="67"/>
      <x:c r="K252" s="67"/>
      <x:c r="L252" s="67"/>
    </x:row>
    <x:row r="253" ht="24" customHeight="1">
      <x:c r="A253" s="67"/>
      <x:c r="B253" s="92" t="str">
        <x:v>Türkiye</x:v>
      </x:c>
      <x:c r="C253" s="92" t="str">
        <x:v>typesafe/jev-1.13</x:v>
      </x:c>
      <x:c r="D253" s="128" t="n">
        <x:f>'Turkiye'!C149</x:f>
        <x:v>7634</x:v>
      </x:c>
      <x:c r="E253" s="128" t="n">
        <x:f>'Turkiye'!D149</x:f>
        <x:v>2935</x:v>
      </x:c>
      <x:c r="F253" s="128" t="n">
        <x:f>'Turkiye'!E149</x:f>
        <x:v>2191</x:v>
      </x:c>
      <x:c r="G253" s="128" t="n">
        <x:f>SUM(D253:F253)</x:f>
        <x:v>12760</x:v>
      </x:c>
      <x:c r="H253" s="67"/>
      <x:c r="I253" s="67"/>
      <x:c r="J253" s="67"/>
      <x:c r="K253" s="67"/>
      <x:c r="L253" s="67"/>
    </x:row>
    <x:row r="254" ht="24" customHeight="1">
      <x:c r="A254" s="67"/>
      <x:c r="B254" s="140" t="str">
        <x:v>Indonesian</x:v>
      </x:c>
      <x:c r="C254" s="140" t="str">
        <x:v>nimble:9b</x:v>
      </x:c>
      <x:c r="D254" s="157" t="n">
        <x:f>'Indonesian'!C146</x:f>
        <x:v>7359</x:v>
      </x:c>
      <x:c r="E254" s="157" t="n">
        <x:f>'Indonesian'!D146</x:f>
        <x:v>4034</x:v>
      </x:c>
      <x:c r="F254" s="157" t="n">
        <x:f>'Indonesian'!E146</x:f>
        <x:v>1367</x:v>
      </x:c>
      <x:c r="G254" s="157" t="n">
        <x:f>SUM(D254:F254)</x:f>
        <x:v>12760</x:v>
      </x:c>
      <x:c r="H254" s="67"/>
      <x:c r="I254" s="67"/>
      <x:c r="J254" s="67"/>
      <x:c r="K254" s="67"/>
      <x:c r="L254" s="67"/>
    </x:row>
    <x:row r="255" ht="24" customHeight="1">
      <x:c r="A255" s="67"/>
      <x:c r="B255" s="92" t="str">
        <x:v>Indonesian</x:v>
      </x:c>
      <x:c r="C255" s="92" t="str">
        <x:v>tev1:0.8b</x:v>
      </x:c>
      <x:c r="D255" s="128" t="n">
        <x:f>'Indonesian'!C147</x:f>
        <x:v>7359</x:v>
      </x:c>
      <x:c r="E255" s="128" t="n">
        <x:f>'Indonesian'!D147</x:f>
        <x:v>4034</x:v>
      </x:c>
      <x:c r="F255" s="128" t="n">
        <x:f>'Indonesian'!E147</x:f>
        <x:v>1367</x:v>
      </x:c>
      <x:c r="G255" s="128" t="n">
        <x:f>SUM(D255:F255)</x:f>
        <x:v>12760</x:v>
      </x:c>
      <x:c r="H255" s="67"/>
      <x:c r="I255" s="67"/>
      <x:c r="J255" s="67"/>
      <x:c r="K255" s="67"/>
      <x:c r="L255" s="67"/>
    </x:row>
    <x:row r="256" ht="24" customHeight="1">
      <x:c r="A256" s="67"/>
      <x:c r="B256" s="92" t="str">
        <x:v>Indonesian</x:v>
      </x:c>
      <x:c r="C256" s="92" t="str">
        <x:v>tev1:4b</x:v>
      </x:c>
      <x:c r="D256" s="128" t="n">
        <x:f>'Indonesian'!C148</x:f>
        <x:v>7359</x:v>
      </x:c>
      <x:c r="E256" s="128" t="n">
        <x:f>'Indonesian'!D148</x:f>
        <x:v>4034</x:v>
      </x:c>
      <x:c r="F256" s="128" t="n">
        <x:f>'Indonesian'!E148</x:f>
        <x:v>1367</x:v>
      </x:c>
      <x:c r="G256" s="128" t="n">
        <x:f>SUM(D256:F256)</x:f>
        <x:v>12760</x:v>
      </x:c>
      <x:c r="H256" s="67"/>
      <x:c r="I256" s="67"/>
      <x:c r="J256" s="67"/>
      <x:c r="K256" s="67"/>
      <x:c r="L256" s="67"/>
    </x:row>
    <x:row r="257" ht="24" customHeight="1">
      <x:c r="A257" s="67"/>
      <x:c r="B257" s="107" t="str">
        <x:v>Indonesian</x:v>
      </x:c>
      <x:c r="C257" s="107" t="str">
        <x:v>typesafe/jev-1.13</x:v>
      </x:c>
      <x:c r="D257" s="132" t="n">
        <x:f>'Indonesian'!C149</x:f>
        <x:v>7359</x:v>
      </x:c>
      <x:c r="E257" s="132" t="n">
        <x:f>'Indonesian'!D149</x:f>
        <x:v>4034</x:v>
      </x:c>
      <x:c r="F257" s="132" t="n">
        <x:f>'Indonesian'!E149</x:f>
        <x:v>1367</x:v>
      </x:c>
      <x:c r="G257" s="132" t="n">
        <x:f>SUM(D257:F257)</x:f>
        <x:v>12760</x:v>
      </x:c>
      <x:c r="H257" s="67"/>
      <x:c r="I257" s="67"/>
      <x:c r="J257" s="67"/>
      <x:c r="K257" s="67"/>
      <x:c r="L257" s="67"/>
    </x:row>
    <x:row r="258" ht="24" customHeight="1">
      <x:c r="B258" s="140" t="str">
        <x:v>Bengali</x:v>
      </x:c>
      <x:c r="C258" s="140" t="str">
        <x:v>nimble:9b</x:v>
      </x:c>
      <x:c r="D258" s="157" t="n">
        <x:f>'Bengali'!C146</x:f>
        <x:v>4612</x:v>
      </x:c>
      <x:c r="E258" s="157" t="n">
        <x:f>'Bengali'!D146</x:f>
        <x:v>2939</x:v>
      </x:c>
      <x:c r="F258" s="157" t="n">
        <x:f>'Bengali'!E146</x:f>
        <x:v>5209</x:v>
      </x:c>
      <x:c r="G258" s="157" t="n">
        <x:f>'Bengali'!F146</x:f>
        <x:v>12760</x:v>
      </x:c>
    </x:row>
    <x:row r="259" ht="24" customHeight="1">
      <x:c r="B259" s="92" t="str">
        <x:v>Bengali</x:v>
      </x:c>
      <x:c r="C259" s="92" t="str">
        <x:v>tev1:0.8b</x:v>
      </x:c>
      <x:c r="D259" s="128" t="n">
        <x:f>'Bengali'!C147</x:f>
        <x:v>4612</x:v>
      </x:c>
      <x:c r="E259" s="128" t="n">
        <x:f>'Bengali'!D147</x:f>
        <x:v>2939</x:v>
      </x:c>
      <x:c r="F259" s="128" t="n">
        <x:f>'Bengali'!E147</x:f>
        <x:v>5209</x:v>
      </x:c>
      <x:c r="G259" s="128" t="n">
        <x:f>'Bengali'!F147</x:f>
        <x:v>12760</x:v>
      </x:c>
    </x:row>
    <x:row r="260" ht="24" customHeight="1">
      <x:c r="B260" s="92" t="str">
        <x:v>Bengali</x:v>
      </x:c>
      <x:c r="C260" s="92" t="str">
        <x:v>tev1:4b</x:v>
      </x:c>
      <x:c r="D260" s="128" t="n">
        <x:f>'Bengali'!C148</x:f>
        <x:v>4612</x:v>
      </x:c>
      <x:c r="E260" s="128" t="n">
        <x:f>'Bengali'!D148</x:f>
        <x:v>2939</x:v>
      </x:c>
      <x:c r="F260" s="128" t="n">
        <x:f>'Bengali'!E148</x:f>
        <x:v>5209</x:v>
      </x:c>
      <x:c r="G260" s="128" t="n">
        <x:f>'Bengali'!F148</x:f>
        <x:v>12760</x:v>
      </x:c>
    </x:row>
    <x:row r="261" ht="24" customHeight="1">
      <x:c r="B261" s="107" t="str">
        <x:v>Bengali</x:v>
      </x:c>
      <x:c r="C261" s="107" t="str">
        <x:v>typesafe/jev-1.13</x:v>
      </x:c>
      <x:c r="D261" s="132" t="n">
        <x:f>'Bengali'!C149</x:f>
        <x:v>4612</x:v>
      </x:c>
      <x:c r="E261" s="132" t="n">
        <x:f>'Bengali'!D149</x:f>
        <x:v>2939</x:v>
      </x:c>
      <x:c r="F261" s="132" t="n">
        <x:f>'Bengali'!E149</x:f>
        <x:v>5209</x:v>
      </x:c>
      <x:c r="G261" s="132" t="n">
        <x:f>'Bengali'!F149</x:f>
        <x:v>12760</x:v>
      </x:c>
    </x:row>
    <x:row r="262" ht="24" customHeight="1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</x:row>
    <x:row r="263" ht="24" customHeight="1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</x:row>
    <x:row r="264" ht="29" customHeight="1">
      <x:c r="A264" s="67"/>
      <x:c r="B264" s="72" t="str">
        <x:v>TABLE 15.</x:v>
      </x:c>
      <x:c r="C264" s="77" t="str">
        <x:v>Türkiye emotion classification precision.</x:v>
      </x:c>
      <x:c r="D264"/>
      <x:c r="E264"/>
      <x:c r="F264"/>
      <x:c r="G264"/>
      <x:c r="H264"/>
      <x:c r="I264"/>
      <x:c r="J264"/>
      <x:c r="K264"/>
      <x:c r="L264"/>
    </x:row>
    <x:row r="265" ht="21" customHeight="1">
      <x:c r="A265" s="67"/>
      <x:c r="B265" s="82" t="str">
        <x:v>Türkiye: emotion_tr, n = 4,403</x:v>
      </x:c>
      <x:c r="C265"/>
      <x:c r="D265"/>
      <x:c r="E265"/>
      <x:c r="F265"/>
      <x:c r="G265"/>
      <x:c r="H265"/>
      <x:c r="I265"/>
      <x:c r="J265"/>
      <x:c r="K265"/>
      <x:c r="L265"/>
    </x:row>
    <x:row r="266" ht="9" customHeight="1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</x:row>
    <x:row r="267" ht="42" customHeight="1">
      <x:c r="A267" s="67"/>
      <x:c r="B267" s="88" t="str">
        <x:v>Country</x:v>
      </x:c>
      <x:c r="C267" s="88" t="str">
        <x:v>Model</x:v>
      </x:c>
      <x:c r="D267" s="90" t="str">
        <x:v>iğrenme</x:v>
      </x:c>
      <x:c r="E267" s="90" t="str">
        <x:v>korku</x:v>
      </x:c>
      <x:c r="F267" s="90" t="str">
        <x:v>minnet</x:v>
      </x:c>
      <x:c r="G267" s="90" t="str">
        <x:v>pişmanlık</x:v>
      </x:c>
      <x:c r="H267" s="90" t="str">
        <x:v>mutluluk</x:v>
      </x:c>
      <x:c r="I267" s="90" t="str">
        <x:v>öfke</x:v>
      </x:c>
      <x:c r="J267" s="90" t="str">
        <x:v>şaşkınlık</x:v>
      </x:c>
      <x:c r="K267" s="90" t="str">
        <x:v>üzüntü</x:v>
      </x:c>
      <x:c r="L267" s="90" t="str">
        <x:v>Macro-
Precision</x:v>
      </x:c>
    </x:row>
    <x:row r="268" ht="24" customHeight="1">
      <x:c r="A268" s="67"/>
      <x:c r="B268" s="92" t="str">
        <x:v>Türkiye</x:v>
      </x:c>
      <x:c r="C268" s="92" t="str">
        <x:v>nimble:9b</x:v>
      </x:c>
      <x:c r="D268" s="97" t="n">
        <x:f>'Turkiye'!C156</x:f>
        <x:v>0.6795422031473534</x:v>
      </x:c>
      <x:c r="E268" s="97" t="n">
        <x:f>'Turkiye'!D156</x:f>
        <x:v>0.8053097345132744</x:v>
      </x:c>
      <x:c r="F268" s="97" t="n">
        <x:f>'Turkiye'!E156</x:f>
        <x:v>0.8590604026845637</x:v>
      </x:c>
      <x:c r="G268" s="97" t="n">
        <x:f>'Turkiye'!F156</x:f>
        <x:v>0.7884940778341794</x:v>
      </x:c>
      <x:c r="H268" s="97" t="n">
        <x:f>'Turkiye'!G156</x:f>
        <x:v>0.6339869281045751</x:v>
      </x:c>
      <x:c r="I268" s="97" t="n">
        <x:f>'Turkiye'!H156</x:f>
        <x:v>0.6559139784946236</x:v>
      </x:c>
      <x:c r="J268" s="97" t="n">
        <x:f>'Turkiye'!I156</x:f>
        <x:v>0.6848249027237354</x:v>
      </x:c>
      <x:c r="K268" s="97" t="n">
        <x:f>'Turkiye'!J156</x:f>
        <x:v>0.6235294117647059</x:v>
      </x:c>
      <x:c r="L268" s="97" t="n">
        <x:f>AVERAGE(D268:K268)</x:f>
        <x:v>0.7163327049083763</x:v>
      </x:c>
    </x:row>
    <x:row r="269" ht="24" customHeight="1">
      <x:c r="A269" s="67"/>
      <x:c r="B269" s="92" t="str">
        <x:v>Türkiye</x:v>
      </x:c>
      <x:c r="C269" s="92" t="str">
        <x:v>tev1:0.8b</x:v>
      </x:c>
      <x:c r="D269" s="97" t="n">
        <x:f>'Turkiye'!C157</x:f>
        <x:v>0.2305194805194805</x:v>
      </x:c>
      <x:c r="E269" s="102" t="n">
        <x:f>'Turkiye'!D157</x:f>
        <x:v>0.8426573426573427</x:v>
      </x:c>
      <x:c r="F269" s="97" t="n">
        <x:f>'Turkiye'!E157</x:f>
        <x:v>0.8411764705882353</x:v>
      </x:c>
      <x:c r="G269" s="97" t="n">
        <x:f>'Turkiye'!F157</x:f>
        <x:v>0.5107458912768648</x:v>
      </x:c>
      <x:c r="H269" s="97" t="n">
        <x:f>'Turkiye'!G157</x:f>
        <x:v>0.5128205128205128</x:v>
      </x:c>
      <x:c r="I269" s="97" t="n">
        <x:f>'Turkiye'!H157</x:f>
        <x:v>0.4972375690607735</x:v>
      </x:c>
      <x:c r="J269" s="97" t="n">
        <x:f>'Turkiye'!I157</x:f>
        <x:v>0.7091836734693877</x:v>
      </x:c>
      <x:c r="K269" s="97" t="n">
        <x:f>'Turkiye'!J157</x:f>
        <x:v>0.4318181818181818</x:v>
      </x:c>
      <x:c r="L269" s="97" t="n">
        <x:f>AVERAGE(D269:K269)</x:f>
        <x:v>0.5720198902763474</x:v>
      </x:c>
    </x:row>
    <x:row r="270" ht="24" customHeight="1">
      <x:c r="A270" s="67"/>
      <x:c r="B270" s="92" t="str">
        <x:v>Türkiye</x:v>
      </x:c>
      <x:c r="C270" s="92" t="str">
        <x:v>tev1:4b</x:v>
      </x:c>
      <x:c r="D270" s="97" t="n">
        <x:f>'Turkiye'!C158</x:f>
        <x:v>0.5279299014238773</x:v>
      </x:c>
      <x:c r="E270" s="97" t="n">
        <x:f>'Turkiye'!D158</x:f>
        <x:v>0.8113948919449901</x:v>
      </x:c>
      <x:c r="F270" s="97" t="n">
        <x:f>'Turkiye'!E158</x:f>
        <x:v>0.8511627906976744</x:v>
      </x:c>
      <x:c r="G270" s="97" t="n">
        <x:f>'Turkiye'!F158</x:f>
        <x:v>0.7508710801393729</x:v>
      </x:c>
      <x:c r="H270" s="97" t="n">
        <x:f>'Turkiye'!G158</x:f>
        <x:v>0.6252129471890971</x:v>
      </x:c>
      <x:c r="I270" s="102" t="n">
        <x:f>'Turkiye'!H158</x:f>
        <x:v>0.6829268292682927</x:v>
      </x:c>
      <x:c r="J270" s="97" t="n">
        <x:f>'Turkiye'!I158</x:f>
        <x:v>0.6151260504201681</x:v>
      </x:c>
      <x:c r="K270" s="97" t="n">
        <x:f>'Turkiye'!J158</x:f>
        <x:v>0.5826771653543307</x:v>
      </x:c>
      <x:c r="L270" s="97" t="n">
        <x:f>AVERAGE(D270:K270)</x:f>
        <x:v>0.6809127070547255</x:v>
      </x:c>
    </x:row>
    <x:row r="271" ht="24" customHeight="1">
      <x:c r="A271" s="67"/>
      <x:c r="B271" s="107" t="str">
        <x:v>Türkiye</x:v>
      </x:c>
      <x:c r="C271" s="107" t="str">
        <x:v>typesafe/jev-1.13</x:v>
      </x:c>
      <x:c r="D271" s="116" t="n">
        <x:f>'Turkiye'!C159</x:f>
        <x:v>0.8</x:v>
      </x:c>
      <x:c r="E271" s="111" t="n">
        <x:f>'Turkiye'!D159</x:f>
        <x:v>0.8204697986577181</x:v>
      </x:c>
      <x:c r="F271" s="116" t="n">
        <x:f>'Turkiye'!E159</x:f>
        <x:v>0.9287410926365796</x:v>
      </x:c>
      <x:c r="G271" s="116" t="n">
        <x:f>'Turkiye'!F159</x:f>
        <x:v>0.8594890510948905</x:v>
      </x:c>
      <x:c r="H271" s="116" t="n">
        <x:f>'Turkiye'!G159</x:f>
        <x:v>0.6698412698412698</x:v>
      </x:c>
      <x:c r="I271" s="111" t="n">
        <x:f>'Turkiye'!H159</x:f>
        <x:v>0.6524163568773235</x:v>
      </x:c>
      <x:c r="J271" s="116" t="n">
        <x:f>'Turkiye'!I159</x:f>
        <x:v>0.7489451476793249</x:v>
      </x:c>
      <x:c r="K271" s="116" t="n">
        <x:f>'Turkiye'!J159</x:f>
        <x:v>0.6235679214402619</x:v>
      </x:c>
      <x:c r="L271" s="116" t="n">
        <x:f>AVERAGE(D271:K271)</x:f>
        <x:v>0.762933829778421</x:v>
      </x:c>
    </x:row>
    <x:row r="272" ht="24" customHeight="1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</x:row>
    <x:row r="273" ht="24" customHeight="1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</x:row>
    <x:row r="274" ht="29" customHeight="1">
      <x:c r="A274" s="67"/>
      <x:c r="B274" s="72" t="str">
        <x:v>TABLE 16.</x:v>
      </x:c>
      <x:c r="C274" s="77" t="str">
        <x:v>Türkiye emotion classification recall.</x:v>
      </x:c>
      <x:c r="D274"/>
      <x:c r="E274"/>
      <x:c r="F274"/>
      <x:c r="G274"/>
      <x:c r="H274"/>
      <x:c r="I274"/>
      <x:c r="J274"/>
      <x:c r="K274"/>
      <x:c r="L274"/>
    </x:row>
    <x:row r="275" ht="21" customHeight="1">
      <x:c r="A275" s="67"/>
      <x:c r="B275" s="82" t="str">
        <x:v>Türkiye: emotion_tr, n = 4,403</x:v>
      </x:c>
      <x:c r="C275"/>
      <x:c r="D275"/>
      <x:c r="E275"/>
      <x:c r="F275"/>
      <x:c r="G275"/>
      <x:c r="H275"/>
      <x:c r="I275"/>
      <x:c r="J275"/>
      <x:c r="K275"/>
      <x:c r="L275"/>
    </x:row>
    <x:row r="276" ht="9" customHeight="1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</x:row>
    <x:row r="277" ht="42" customHeight="1">
      <x:c r="A277" s="67"/>
      <x:c r="B277" s="88" t="str">
        <x:v>Country</x:v>
      </x:c>
      <x:c r="C277" s="88" t="str">
        <x:v>Model</x:v>
      </x:c>
      <x:c r="D277" s="90" t="str">
        <x:v>iğrenme</x:v>
      </x:c>
      <x:c r="E277" s="90" t="str">
        <x:v>korku</x:v>
      </x:c>
      <x:c r="F277" s="90" t="str">
        <x:v>minnet</x:v>
      </x:c>
      <x:c r="G277" s="90" t="str">
        <x:v>pişmanlık</x:v>
      </x:c>
      <x:c r="H277" s="90" t="str">
        <x:v>mutluluk</x:v>
      </x:c>
      <x:c r="I277" s="90" t="str">
        <x:v>öfke</x:v>
      </x:c>
      <x:c r="J277" s="90" t="str">
        <x:v>şaşkınlık</x:v>
      </x:c>
      <x:c r="K277" s="90" t="str">
        <x:v>üzüntü</x:v>
      </x:c>
      <x:c r="L277" s="90" t="str">
        <x:v>Macro-
Recall</x:v>
      </x:c>
    </x:row>
    <x:row r="278" ht="24" customHeight="1">
      <x:c r="A278" s="67"/>
      <x:c r="B278" s="92" t="str">
        <x:v>Türkiye</x:v>
      </x:c>
      <x:c r="C278" s="92" t="str">
        <x:v>nimble:9b</x:v>
      </x:c>
      <x:c r="D278" s="97" t="n">
        <x:f>'Turkiye'!C166</x:f>
        <x:v>0.8620689655172413</x:v>
      </x:c>
      <x:c r="E278" s="97" t="n">
        <x:f>'Turkiye'!D166</x:f>
        <x:v>0.8257713248638838</x:v>
      </x:c>
      <x:c r="F278" s="97" t="n">
        <x:f>'Turkiye'!E166</x:f>
        <x:v>0.6981818181818182</x:v>
      </x:c>
      <x:c r="G278" s="97" t="n">
        <x:f>'Turkiye'!F166</x:f>
        <x:v>0.8472727272727273</x:v>
      </x:c>
      <x:c r="H278" s="97" t="n">
        <x:f>'Turkiye'!G166</x:f>
        <x:v>0.7054545454545454</x:v>
      </x:c>
      <x:c r="I278" s="97" t="n">
        <x:f>'Turkiye'!H166</x:f>
        <x:v>0.5535390199637024</x:v>
      </x:c>
      <x:c r="J278" s="97" t="n">
        <x:f>'Turkiye'!I166</x:f>
        <x:v>0.64</x:v>
      </x:c>
      <x:c r="K278" s="97" t="n">
        <x:f>'Turkiye'!J166</x:f>
        <x:v>0.5781818181818181</x:v>
      </x:c>
      <x:c r="L278" s="97" t="n">
        <x:f>AVERAGE(D278:K278)</x:f>
        <x:v>0.713808777429467</x:v>
      </x:c>
    </x:row>
    <x:row r="279" ht="24" customHeight="1">
      <x:c r="A279" s="67"/>
      <x:c r="B279" s="92" t="str">
        <x:v>Türkiye</x:v>
      </x:c>
      <x:c r="C279" s="92" t="str">
        <x:v>tev1:0.8b</x:v>
      </x:c>
      <x:c r="D279" s="97" t="n">
        <x:f>'Turkiye'!C167</x:f>
        <x:v>0.7731397459165155</x:v>
      </x:c>
      <x:c r="E279" s="97" t="n">
        <x:f>'Turkiye'!D167</x:f>
        <x:v>0.43738656987295826</x:v>
      </x:c>
      <x:c r="F279" s="97" t="n">
        <x:f>'Turkiye'!E167</x:f>
        <x:v>0.52</x:v>
      </x:c>
      <x:c r="G279" s="97" t="n">
        <x:f>'Turkiye'!F167</x:f>
        <x:v>0.7345454545454545</x:v>
      </x:c>
      <x:c r="H279" s="97" t="n">
        <x:f>'Turkiye'!G167</x:f>
        <x:v>0.5454545454545454</x:v>
      </x:c>
      <x:c r="I279" s="97" t="n">
        <x:f>'Turkiye'!H167</x:f>
        <x:v>0.16333938294010888</x:v>
      </x:c>
      <x:c r="J279" s="97" t="n">
        <x:f>'Turkiye'!I167</x:f>
        <x:v>0.25272727272727274</x:v>
      </x:c>
      <x:c r="K279" s="97" t="n">
        <x:f>'Turkiye'!J167</x:f>
        <x:v>0.13818181818181818</x:v>
      </x:c>
      <x:c r="L279" s="97" t="n">
        <x:f>AVERAGE(D279:K279)</x:f>
        <x:v>0.44559684870483424</x:v>
      </x:c>
    </x:row>
    <x:row r="280" ht="24" customHeight="1">
      <x:c r="A280" s="67"/>
      <x:c r="B280" s="92" t="str">
        <x:v>Türkiye</x:v>
      </x:c>
      <x:c r="C280" s="92" t="str">
        <x:v>tev1:4b</x:v>
      </x:c>
      <x:c r="D280" s="102" t="n">
        <x:f>'Turkiye'!C168</x:f>
        <x:v>0.8747731397459165</x:v>
      </x:c>
      <x:c r="E280" s="97" t="n">
        <x:f>'Turkiye'!D168</x:f>
        <x:v>0.7495462794918331</x:v>
      </x:c>
      <x:c r="F280" s="97" t="n">
        <x:f>'Turkiye'!E168</x:f>
        <x:v>0.6654545454545454</x:v>
      </x:c>
      <x:c r="G280" s="97" t="n">
        <x:f>'Turkiye'!F168</x:f>
        <x:v>0.7836363636363637</x:v>
      </x:c>
      <x:c r="H280" s="97" t="n">
        <x:f>'Turkiye'!G168</x:f>
        <x:v>0.6672727272727272</x:v>
      </x:c>
      <x:c r="I280" s="97" t="n">
        <x:f>'Turkiye'!H168</x:f>
        <x:v>0.35571687840290384</x:v>
      </x:c>
      <x:c r="J280" s="102" t="n">
        <x:f>'Turkiye'!I168</x:f>
        <x:v>0.6654545454545454</x:v>
      </x:c>
      <x:c r="K280" s="97" t="n">
        <x:f>'Turkiye'!J168</x:f>
        <x:v>0.5381818181818182</x:v>
      </x:c>
      <x:c r="L280" s="97" t="n">
        <x:f>AVERAGE(D280:K280)</x:f>
        <x:v>0.6625045372050816</x:v>
      </x:c>
    </x:row>
    <x:row r="281" ht="24" customHeight="1">
      <x:c r="A281" s="67"/>
      <x:c r="B281" s="107" t="str">
        <x:v>Türkiye</x:v>
      </x:c>
      <x:c r="C281" s="107" t="str">
        <x:v>typesafe/jev-1.13</x:v>
      </x:c>
      <x:c r="D281" s="111" t="n">
        <x:f>'Turkiye'!C169</x:f>
        <x:v>0.8493647912885662</x:v>
      </x:c>
      <x:c r="E281" s="116" t="n">
        <x:f>'Turkiye'!D169</x:f>
        <x:v>0.8874773139745916</x:v>
      </x:c>
      <x:c r="F281" s="116" t="n">
        <x:f>'Turkiye'!E169</x:f>
        <x:v>0.7109090909090909</x:v>
      </x:c>
      <x:c r="G281" s="116" t="n">
        <x:f>'Turkiye'!F169</x:f>
        <x:v>0.8563636363636363</x:v>
      </x:c>
      <x:c r="H281" s="116" t="n">
        <x:f>'Turkiye'!G169</x:f>
        <x:v>0.7672727272727272</x:v>
      </x:c>
      <x:c r="I281" s="116" t="n">
        <x:f>'Turkiye'!H169</x:f>
        <x:v>0.6370235934664247</x:v>
      </x:c>
      <x:c r="J281" s="111" t="n">
        <x:f>'Turkiye'!I169</x:f>
        <x:v>0.6454545454545455</x:v>
      </x:c>
      <x:c r="K281" s="116" t="n">
        <x:f>'Turkiye'!J169</x:f>
        <x:v>0.6927272727272727</x:v>
      </x:c>
      <x:c r="L281" s="116" t="n">
        <x:f>AVERAGE(D281:K281)</x:f>
        <x:v>0.7558241214321069</x:v>
      </x:c>
    </x:row>
    <x:row r="282" ht="24" customHeight="1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</x:row>
    <x:row r="283" ht="24" customHeight="1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</x:row>
    <x:row r="284" ht="29" customHeight="1">
      <x:c r="A284" s="67"/>
      <x:c r="B284" s="72" t="str">
        <x:v>TABLE 17.</x:v>
      </x:c>
      <x:c r="C284" s="77" t="str">
        <x:v>Türkiye emotion classification F1.</x:v>
      </x:c>
      <x:c r="D284"/>
      <x:c r="E284"/>
      <x:c r="F284"/>
      <x:c r="G284"/>
      <x:c r="H284"/>
      <x:c r="I284"/>
      <x:c r="J284"/>
      <x:c r="K284"/>
      <x:c r="L284"/>
    </x:row>
    <x:row r="285" ht="21" customHeight="1">
      <x:c r="A285" s="67"/>
      <x:c r="B285" s="82" t="str">
        <x:v>Türkiye: emotion_tr, n = 4,403</x:v>
      </x:c>
      <x:c r="C285"/>
      <x:c r="D285"/>
      <x:c r="E285"/>
      <x:c r="F285"/>
      <x:c r="G285"/>
      <x:c r="H285"/>
      <x:c r="I285"/>
      <x:c r="J285"/>
      <x:c r="K285"/>
      <x:c r="L285"/>
    </x:row>
    <x:row r="286" ht="9" customHeight="1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</x:row>
    <x:row r="287" ht="42" customHeight="1">
      <x:c r="A287" s="67"/>
      <x:c r="B287" s="88" t="str">
        <x:v>Country</x:v>
      </x:c>
      <x:c r="C287" s="88" t="str">
        <x:v>Model</x:v>
      </x:c>
      <x:c r="D287" s="90" t="str">
        <x:v>iğrenme</x:v>
      </x:c>
      <x:c r="E287" s="90" t="str">
        <x:v>korku</x:v>
      </x:c>
      <x:c r="F287" s="90" t="str">
        <x:v>minnet</x:v>
      </x:c>
      <x:c r="G287" s="90" t="str">
        <x:v>pişmanlık</x:v>
      </x:c>
      <x:c r="H287" s="90" t="str">
        <x:v>mutluluk</x:v>
      </x:c>
      <x:c r="I287" s="90" t="str">
        <x:v>öfke</x:v>
      </x:c>
      <x:c r="J287" s="90" t="str">
        <x:v>şaşkınlık</x:v>
      </x:c>
      <x:c r="K287" s="90" t="str">
        <x:v>üzüntü</x:v>
      </x:c>
      <x:c r="L287" s="90" t="str">
        <x:v>Macro-F1</x:v>
      </x:c>
    </x:row>
    <x:row r="288" ht="24" customHeight="1">
      <x:c r="A288" s="67"/>
      <x:c r="B288" s="92" t="str">
        <x:v>Türkiye</x:v>
      </x:c>
      <x:c r="C288" s="92" t="str">
        <x:v>nimble:9b</x:v>
      </x:c>
      <x:c r="D288" s="97" t="n">
        <x:f>'Turkiye'!C176</x:f>
        <x:v>0.76</x:v>
      </x:c>
      <x:c r="E288" s="97" t="n">
        <x:f>'Turkiye'!D176</x:f>
        <x:v>0.8154121863799283</x:v>
      </x:c>
      <x:c r="F288" s="97" t="n">
        <x:f>'Turkiye'!E176</x:f>
        <x:v>0.7703109327983951</x:v>
      </x:c>
      <x:c r="G288" s="97" t="n">
        <x:f>'Turkiye'!F176</x:f>
        <x:v>0.8168273444347064</x:v>
      </x:c>
      <x:c r="H288" s="97" t="n">
        <x:f>'Turkiye'!G176</x:f>
        <x:v>0.6678141135972461</x:v>
      </x:c>
      <x:c r="I288" s="97" t="n">
        <x:f>'Turkiye'!H176</x:f>
        <x:v>0.6003937007874016</x:v>
      </x:c>
      <x:c r="J288" s="97" t="n">
        <x:f>'Turkiye'!I176</x:f>
        <x:v>0.6616541353383458</x:v>
      </x:c>
      <x:c r="K288" s="97" t="n">
        <x:f>'Turkiye'!J176</x:f>
        <x:v>0.6</x:v>
      </x:c>
      <x:c r="L288" s="97" t="n">
        <x:f>AVERAGE(D288:K288)</x:f>
        <x:v>0.711551551667003</x:v>
      </x:c>
    </x:row>
    <x:row r="289" ht="24" customHeight="1">
      <x:c r="A289" s="67"/>
      <x:c r="B289" s="92" t="str">
        <x:v>Türkiye</x:v>
      </x:c>
      <x:c r="C289" s="92" t="str">
        <x:v>tev1:0.8b</x:v>
      </x:c>
      <x:c r="D289" s="97" t="n">
        <x:f>'Turkiye'!C177</x:f>
        <x:v>0.3551479783243018</x:v>
      </x:c>
      <x:c r="E289" s="97" t="n">
        <x:f>'Turkiye'!D177</x:f>
        <x:v>0.5758661887694145</x:v>
      </x:c>
      <x:c r="F289" s="97" t="n">
        <x:f>'Turkiye'!E177</x:f>
        <x:v>0.6426966292134831</x:v>
      </x:c>
      <x:c r="G289" s="97" t="n">
        <x:f>'Turkiye'!F177</x:f>
        <x:v>0.6025354213273676</x:v>
      </x:c>
      <x:c r="H289" s="97" t="n">
        <x:f>'Turkiye'!G177</x:f>
        <x:v>0.5286343612334802</x:v>
      </x:c>
      <x:c r="I289" s="97" t="n">
        <x:f>'Turkiye'!H177</x:f>
        <x:v>0.2459016393442623</x:v>
      </x:c>
      <x:c r="J289" s="97" t="n">
        <x:f>'Turkiye'!I177</x:f>
        <x:v>0.3726541554959786</x:v>
      </x:c>
      <x:c r="K289" s="97" t="n">
        <x:f>'Turkiye'!J177</x:f>
        <x:v>0.209366391184573</x:v>
      </x:c>
      <x:c r="L289" s="97" t="n">
        <x:f>AVERAGE(D289:K289)</x:f>
        <x:v>0.44160034561160766</x:v>
      </x:c>
    </x:row>
    <x:row r="290" ht="24" customHeight="1">
      <x:c r="A290" s="67"/>
      <x:c r="B290" s="92" t="str">
        <x:v>Türkiye</x:v>
      </x:c>
      <x:c r="C290" s="92" t="str">
        <x:v>tev1:4b</x:v>
      </x:c>
      <x:c r="D290" s="97" t="n">
        <x:f>'Turkiye'!C178</x:f>
        <x:v>0.6584699453551912</x:v>
      </x:c>
      <x:c r="E290" s="97" t="n">
        <x:f>'Turkiye'!D178</x:f>
        <x:v>0.779245283018868</x:v>
      </x:c>
      <x:c r="F290" s="97" t="n">
        <x:f>'Turkiye'!E178</x:f>
        <x:v>0.746938775510204</x:v>
      </x:c>
      <x:c r="G290" s="97" t="n">
        <x:f>'Turkiye'!F178</x:f>
        <x:v>0.7669039145907474</x:v>
      </x:c>
      <x:c r="H290" s="97" t="n">
        <x:f>'Turkiye'!G178</x:f>
        <x:v>0.6455584872471416</x:v>
      </x:c>
      <x:c r="I290" s="97" t="n">
        <x:f>'Turkiye'!H178</x:f>
        <x:v>0.4677804295942721</x:v>
      </x:c>
      <x:c r="J290" s="97" t="n">
        <x:f>'Turkiye'!I178</x:f>
        <x:v>0.6393013100436681</x:v>
      </x:c>
      <x:c r="K290" s="97" t="n">
        <x:f>'Turkiye'!J178</x:f>
        <x:v>0.5595463137996219</x:v>
      </x:c>
      <x:c r="L290" s="97" t="n">
        <x:f>AVERAGE(D290:K290)</x:f>
        <x:v>0.6579680573949642</x:v>
      </x:c>
    </x:row>
    <x:row r="291" ht="24" customHeight="1">
      <x:c r="A291" s="67"/>
      <x:c r="B291" s="107" t="str">
        <x:v>Türkiye</x:v>
      </x:c>
      <x:c r="C291" s="107" t="str">
        <x:v>typesafe/jev-1.13</x:v>
      </x:c>
      <x:c r="D291" s="116" t="n">
        <x:f>'Turkiye'!C179</x:f>
        <x:v>0.823943661971831</x:v>
      </x:c>
      <x:c r="E291" s="116" t="n">
        <x:f>'Turkiye'!D179</x:f>
        <x:v>0.8526591107236269</x:v>
      </x:c>
      <x:c r="F291" s="116" t="n">
        <x:f>'Turkiye'!E179</x:f>
        <x:v>0.8053553038105047</x:v>
      </x:c>
      <x:c r="G291" s="116" t="n">
        <x:f>'Turkiye'!F179</x:f>
        <x:v>0.8579234972677595</x:v>
      </x:c>
      <x:c r="H291" s="116" t="n">
        <x:f>'Turkiye'!G179</x:f>
        <x:v>0.7152542372881356</x:v>
      </x:c>
      <x:c r="I291" s="116" t="n">
        <x:f>'Turkiye'!H179</x:f>
        <x:v>0.6446280991735537</x:v>
      </x:c>
      <x:c r="J291" s="116" t="n">
        <x:f>'Turkiye'!I179</x:f>
        <x:v>0.693359375</x:v>
      </x:c>
      <x:c r="K291" s="116" t="n">
        <x:f>'Turkiye'!J179</x:f>
        <x:v>0.6563307493540051</x:v>
      </x:c>
      <x:c r="L291" s="116" t="n">
        <x:f>AVERAGE(D291:K291)</x:f>
        <x:v>0.7561817543236771</x:v>
      </x:c>
    </x:row>
    <x:row r="292" ht="24" customHeight="1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</x:row>
    <x:row r="293" ht="24" customHeight="1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</x:row>
    <x:row r="294" ht="29" customHeight="1">
      <x:c r="A294" s="67"/>
      <x:c r="B294" s="72" t="str">
        <x:v>TABLE 18.</x:v>
      </x:c>
      <x:c r="C294" s="77" t="str">
        <x:v>Türkiye emotion classification support.</x:v>
      </x:c>
      <x:c r="D294"/>
      <x:c r="E294"/>
      <x:c r="F294"/>
      <x:c r="G294"/>
      <x:c r="H294"/>
      <x:c r="I294"/>
      <x:c r="J294"/>
      <x:c r="K294"/>
      <x:c r="L294"/>
    </x:row>
    <x:row r="295" ht="21" customHeight="1">
      <x:c r="A295" s="67"/>
      <x:c r="B295" s="82" t="str">
        <x:v>Türkiye: emotion_tr, n = 4,403</x:v>
      </x:c>
      <x:c r="C295"/>
      <x:c r="D295"/>
      <x:c r="E295"/>
      <x:c r="F295"/>
      <x:c r="G295"/>
      <x:c r="H295"/>
      <x:c r="I295"/>
      <x:c r="J295"/>
      <x:c r="K295"/>
      <x:c r="L295"/>
    </x:row>
    <x:row r="296" ht="9" customHeight="1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</x:row>
    <x:row r="297" ht="42" customHeight="1">
      <x:c r="A297" s="67"/>
      <x:c r="B297" s="88" t="str">
        <x:v>Country</x:v>
      </x:c>
      <x:c r="C297" s="88" t="str">
        <x:v>Model</x:v>
      </x:c>
      <x:c r="D297" s="90" t="str">
        <x:v>iğrenme</x:v>
      </x:c>
      <x:c r="E297" s="90" t="str">
        <x:v>korku</x:v>
      </x:c>
      <x:c r="F297" s="90" t="str">
        <x:v>minnet</x:v>
      </x:c>
      <x:c r="G297" s="90" t="str">
        <x:v>pişmanlık</x:v>
      </x:c>
      <x:c r="H297" s="90" t="str">
        <x:v>mutluluk</x:v>
      </x:c>
      <x:c r="I297" s="90" t="str">
        <x:v>öfke</x:v>
      </x:c>
      <x:c r="J297" s="90" t="str">
        <x:v>şaşkınlık</x:v>
      </x:c>
      <x:c r="K297" s="90" t="str">
        <x:v>üzüntü</x:v>
      </x:c>
      <x:c r="L297" s="90" t="str">
        <x:v>Total</x:v>
      </x:c>
    </x:row>
    <x:row r="298" ht="24" customHeight="1">
      <x:c r="A298" s="67"/>
      <x:c r="B298" s="92" t="str">
        <x:v>Türkiye</x:v>
      </x:c>
      <x:c r="C298" s="92" t="str">
        <x:v>nimble:9b</x:v>
      </x:c>
      <x:c r="D298" s="128" t="n">
        <x:f>'Turkiye'!C186</x:f>
        <x:v>551</x:v>
      </x:c>
      <x:c r="E298" s="128" t="n">
        <x:f>'Turkiye'!D186</x:f>
        <x:v>551</x:v>
      </x:c>
      <x:c r="F298" s="128" t="n">
        <x:f>'Turkiye'!E186</x:f>
        <x:v>550</x:v>
      </x:c>
      <x:c r="G298" s="128" t="n">
        <x:f>'Turkiye'!F186</x:f>
        <x:v>550</x:v>
      </x:c>
      <x:c r="H298" s="128" t="n">
        <x:f>'Turkiye'!G186</x:f>
        <x:v>550</x:v>
      </x:c>
      <x:c r="I298" s="128" t="n">
        <x:f>'Turkiye'!H186</x:f>
        <x:v>551</x:v>
      </x:c>
      <x:c r="J298" s="128" t="n">
        <x:f>'Turkiye'!I186</x:f>
        <x:v>550</x:v>
      </x:c>
      <x:c r="K298" s="128" t="n">
        <x:f>'Turkiye'!J186</x:f>
        <x:v>550</x:v>
      </x:c>
      <x:c r="L298" s="128" t="n">
        <x:f>SUM(D298:K298)</x:f>
        <x:v>4403</x:v>
      </x:c>
    </x:row>
    <x:row r="299" ht="24" customHeight="1">
      <x:c r="A299" s="67"/>
      <x:c r="B299" s="92" t="str">
        <x:v>Türkiye</x:v>
      </x:c>
      <x:c r="C299" s="92" t="str">
        <x:v>tev1:0.8b</x:v>
      </x:c>
      <x:c r="D299" s="128" t="n">
        <x:f>'Turkiye'!C187</x:f>
        <x:v>551</x:v>
      </x:c>
      <x:c r="E299" s="128" t="n">
        <x:f>'Turkiye'!D187</x:f>
        <x:v>551</x:v>
      </x:c>
      <x:c r="F299" s="128" t="n">
        <x:f>'Turkiye'!E187</x:f>
        <x:v>550</x:v>
      </x:c>
      <x:c r="G299" s="128" t="n">
        <x:f>'Turkiye'!F187</x:f>
        <x:v>550</x:v>
      </x:c>
      <x:c r="H299" s="128" t="n">
        <x:f>'Turkiye'!G187</x:f>
        <x:v>550</x:v>
      </x:c>
      <x:c r="I299" s="128" t="n">
        <x:f>'Turkiye'!H187</x:f>
        <x:v>551</x:v>
      </x:c>
      <x:c r="J299" s="128" t="n">
        <x:f>'Turkiye'!I187</x:f>
        <x:v>550</x:v>
      </x:c>
      <x:c r="K299" s="128" t="n">
        <x:f>'Turkiye'!J187</x:f>
        <x:v>550</x:v>
      </x:c>
      <x:c r="L299" s="128" t="n">
        <x:f>SUM(D299:K299)</x:f>
        <x:v>4403</x:v>
      </x:c>
    </x:row>
    <x:row r="300" ht="24" customHeight="1">
      <x:c r="A300" s="67"/>
      <x:c r="B300" s="92" t="str">
        <x:v>Türkiye</x:v>
      </x:c>
      <x:c r="C300" s="92" t="str">
        <x:v>tev1:4b</x:v>
      </x:c>
      <x:c r="D300" s="128" t="n">
        <x:f>'Turkiye'!C188</x:f>
        <x:v>551</x:v>
      </x:c>
      <x:c r="E300" s="128" t="n">
        <x:f>'Turkiye'!D188</x:f>
        <x:v>551</x:v>
      </x:c>
      <x:c r="F300" s="128" t="n">
        <x:f>'Turkiye'!E188</x:f>
        <x:v>550</x:v>
      </x:c>
      <x:c r="G300" s="128" t="n">
        <x:f>'Turkiye'!F188</x:f>
        <x:v>550</x:v>
      </x:c>
      <x:c r="H300" s="128" t="n">
        <x:f>'Turkiye'!G188</x:f>
        <x:v>550</x:v>
      </x:c>
      <x:c r="I300" s="128" t="n">
        <x:f>'Turkiye'!H188</x:f>
        <x:v>551</x:v>
      </x:c>
      <x:c r="J300" s="128" t="n">
        <x:f>'Turkiye'!I188</x:f>
        <x:v>550</x:v>
      </x:c>
      <x:c r="K300" s="128" t="n">
        <x:f>'Turkiye'!J188</x:f>
        <x:v>550</x:v>
      </x:c>
      <x:c r="L300" s="128" t="n">
        <x:f>SUM(D300:K300)</x:f>
        <x:v>4403</x:v>
      </x:c>
    </x:row>
    <x:row r="301" ht="24" customHeight="1">
      <x:c r="A301" s="67"/>
      <x:c r="B301" s="107" t="str">
        <x:v>Türkiye</x:v>
      </x:c>
      <x:c r="C301" s="107" t="str">
        <x:v>typesafe/jev-1.13</x:v>
      </x:c>
      <x:c r="D301" s="132" t="n">
        <x:f>'Turkiye'!C189</x:f>
        <x:v>551</x:v>
      </x:c>
      <x:c r="E301" s="132" t="n">
        <x:f>'Turkiye'!D189</x:f>
        <x:v>551</x:v>
      </x:c>
      <x:c r="F301" s="132" t="n">
        <x:f>'Turkiye'!E189</x:f>
        <x:v>550</x:v>
      </x:c>
      <x:c r="G301" s="132" t="n">
        <x:f>'Turkiye'!F189</x:f>
        <x:v>550</x:v>
      </x:c>
      <x:c r="H301" s="132" t="n">
        <x:f>'Turkiye'!G189</x:f>
        <x:v>550</x:v>
      </x:c>
      <x:c r="I301" s="132" t="n">
        <x:f>'Turkiye'!H189</x:f>
        <x:v>551</x:v>
      </x:c>
      <x:c r="J301" s="132" t="n">
        <x:f>'Turkiye'!I189</x:f>
        <x:v>550</x:v>
      </x:c>
      <x:c r="K301" s="132" t="n">
        <x:f>'Turkiye'!J189</x:f>
        <x:v>550</x:v>
      </x:c>
      <x:c r="L301" s="132" t="n">
        <x:f>SUM(D301:K301)</x:f>
        <x:v>4403</x:v>
      </x:c>
    </x:row>
    <x:row r="302" ht="24" customHeight="1">
      <x:c r="A302" s="67"/>
      <x:c r="B302" s="67"/>
      <x:c r="C302" s="67"/>
      <x:c r="D302" s="67"/>
      <x:c r="E302" s="67"/>
      <x:c r="F302" s="67"/>
      <x:c r="G302" s="67"/>
      <x:c r="H302" s="67"/>
      <x:c r="I302" s="67"/>
      <x:c r="J302" s="67"/>
      <x:c r="K302" s="67"/>
      <x:c r="L302" s="67"/>
    </x:row>
    <x:row r="303" ht="24" customHeight="1">
      <x:c r="A303" s="67"/>
      <x:c r="B303" s="67"/>
      <x:c r="C303" s="67"/>
      <x:c r="D303" s="67"/>
      <x:c r="E303" s="67"/>
      <x:c r="F303" s="67"/>
      <x:c r="G303" s="67"/>
      <x:c r="H303" s="67"/>
      <x:c r="I303" s="67"/>
      <x:c r="J303" s="67"/>
      <x:c r="K303" s="67"/>
      <x:c r="L303" s="67"/>
    </x:row>
    <x:row r="304" ht="29" customHeight="1">
      <x:c r="A304" s="67"/>
      <x:c r="B304" s="72" t="str">
        <x:v>TABLE 19.</x:v>
      </x:c>
      <x:c r="C304" s="77" t="str">
        <x:v>Indonesian emotion classification precision.</x:v>
      </x:c>
      <x:c r="D304"/>
      <x:c r="E304"/>
      <x:c r="F304"/>
      <x:c r="G304"/>
      <x:c r="H304"/>
      <x:c r="I304"/>
      <x:c r="J304" s="67"/>
      <x:c r="K304" s="67"/>
      <x:c r="L304" s="67"/>
    </x:row>
    <x:row r="305" ht="21" customHeight="1">
      <x:c r="A305" s="67"/>
      <x:c r="B305" s="82" t="str">
        <x:v>Indonesian: emotion, n = 4,403</x:v>
      </x:c>
      <x:c r="C305"/>
      <x:c r="D305"/>
      <x:c r="E305"/>
      <x:c r="F305"/>
      <x:c r="G305"/>
      <x:c r="H305"/>
      <x:c r="I305"/>
      <x:c r="J305" s="67"/>
      <x:c r="K305" s="67"/>
      <x:c r="L305" s="67"/>
    </x:row>
    <x:row r="306" ht="9" customHeight="1">
      <x:c r="A306" s="67"/>
      <x:c r="B306" s="67"/>
      <x:c r="C306" s="67"/>
      <x:c r="D306" s="67"/>
      <x:c r="E306" s="67"/>
      <x:c r="F306" s="67"/>
      <x:c r="G306" s="67"/>
      <x:c r="H306" s="67"/>
      <x:c r="I306" s="67"/>
      <x:c r="J306" s="67"/>
      <x:c r="K306" s="67"/>
      <x:c r="L306" s="67"/>
    </x:row>
    <x:row r="307" ht="42" customHeight="1">
      <x:c r="A307" s="67"/>
      <x:c r="B307" s="88" t="str">
        <x:v>Country</x:v>
      </x:c>
      <x:c r="C307" s="88" t="str">
        <x:v>Model</x:v>
      </x:c>
      <x:c r="D307" s="90" t="str">
        <x:v>anger</x:v>
      </x:c>
      <x:c r="E307" s="90" t="str">
        <x:v>fear</x:v>
      </x:c>
      <x:c r="F307" s="90" t="str">
        <x:v>happy</x:v>
      </x:c>
      <x:c r="G307" s="90" t="str">
        <x:v>love</x:v>
      </x:c>
      <x:c r="H307" s="90" t="str">
        <x:v>sadness</x:v>
      </x:c>
      <x:c r="I307" s="90" t="str">
        <x:v>Macro-
Precision</x:v>
      </x:c>
      <x:c r="J307" s="67"/>
      <x:c r="K307" s="67"/>
      <x:c r="L307" s="67"/>
    </x:row>
    <x:row r="308" ht="24" customHeight="1">
      <x:c r="A308" s="67"/>
      <x:c r="B308" s="92" t="str">
        <x:v>Indonesian</x:v>
      </x:c>
      <x:c r="C308" s="92" t="str">
        <x:v>nimble:9b</x:v>
      </x:c>
      <x:c r="D308" s="97" t="n">
        <x:f>'Indonesian'!C156</x:f>
        <x:v>0.6794961511546536</x:v>
      </x:c>
      <x:c r="E308" s="97" t="n">
        <x:f>'Indonesian'!D156</x:f>
        <x:v>0.8226351351351351</x:v>
      </x:c>
      <x:c r="F308" s="97" t="n">
        <x:f>'Indonesian'!E156</x:f>
        <x:v>0.781496062992126</x:v>
      </x:c>
      <x:c r="G308" s="97" t="n">
        <x:f>'Indonesian'!F156</x:f>
        <x:v>0.664367816091954</x:v>
      </x:c>
      <x:c r="H308" s="102" t="n">
        <x:f>'Indonesian'!G156</x:f>
        <x:v>0.8225806451612904</x:v>
      </x:c>
      <x:c r="I308" s="97" t="n">
        <x:f>AVERAGE(D308:H308)</x:f>
        <x:v>0.7541151621070318</x:v>
      </x:c>
      <x:c r="J308" s="67"/>
      <x:c r="K308" s="67"/>
      <x:c r="L308" s="67"/>
    </x:row>
    <x:row r="309" ht="24" customHeight="1">
      <x:c r="A309" s="67"/>
      <x:c r="B309" s="92" t="str">
        <x:v>Indonesian</x:v>
      </x:c>
      <x:c r="C309" s="92" t="str">
        <x:v>tev1:0.8b</x:v>
      </x:c>
      <x:c r="D309" s="97" t="n">
        <x:f>'Indonesian'!C157</x:f>
        <x:v>0.4900864260294865</x:v>
      </x:c>
      <x:c r="E309" s="97" t="n">
        <x:f>'Indonesian'!D157</x:f>
        <x:v>0.8311345646437994</x:v>
      </x:c>
      <x:c r="F309" s="97" t="n">
        <x:f>'Indonesian'!E157</x:f>
        <x:v>0.7150776053215078</x:v>
      </x:c>
      <x:c r="G309" s="97" t="n">
        <x:f>'Indonesian'!F157</x:f>
        <x:v>0.6428571428571429</x:v>
      </x:c>
      <x:c r="H309" s="97" t="n">
        <x:f>'Indonesian'!G157</x:f>
        <x:v>0.6974789915966386</x:v>
      </x:c>
      <x:c r="I309" s="97" t="n">
        <x:f>AVERAGE(D309:H309)</x:f>
        <x:v>0.6753269460897149</x:v>
      </x:c>
      <x:c r="J309" s="67"/>
      <x:c r="K309" s="67"/>
      <x:c r="L309" s="67"/>
    </x:row>
    <x:row r="310" ht="24" customHeight="1">
      <x:c r="A310" s="67"/>
      <x:c r="B310" s="92" t="str">
        <x:v>Indonesian</x:v>
      </x:c>
      <x:c r="C310" s="92" t="str">
        <x:v>tev1:4b</x:v>
      </x:c>
      <x:c r="D310" s="97" t="n">
        <x:f>'Indonesian'!C158</x:f>
        <x:v>0.6494512588766946</x:v>
      </x:c>
      <x:c r="E310" s="102" t="n">
        <x:f>'Indonesian'!D158</x:f>
        <x:v>0.8404452690166976</x:v>
      </x:c>
      <x:c r="F310" s="97" t="n">
        <x:f>'Indonesian'!E158</x:f>
        <x:v>0.8189473684210526</x:v>
      </x:c>
      <x:c r="G310" s="102" t="n">
        <x:f>'Indonesian'!F158</x:f>
        <x:v>0.7303225806451613</x:v>
      </x:c>
      <x:c r="H310" s="97" t="n">
        <x:f>'Indonesian'!G158</x:f>
        <x:v>0.7491525423728813</x:v>
      </x:c>
      <x:c r="I310" s="97" t="n">
        <x:f>AVERAGE(D310:H310)</x:f>
        <x:v>0.7576638038664976</x:v>
      </x:c>
      <x:c r="J310" s="67"/>
      <x:c r="K310" s="67"/>
      <x:c r="L310" s="67"/>
    </x:row>
    <x:row r="311" ht="24" customHeight="1">
      <x:c r="A311" s="67"/>
      <x:c r="B311" s="107" t="str">
        <x:v>Indonesian</x:v>
      </x:c>
      <x:c r="C311" s="107" t="str">
        <x:v>typesafe/jev-1.13</x:v>
      </x:c>
      <x:c r="D311" s="116" t="n">
        <x:f>'Indonesian'!C159</x:f>
        <x:v>0.7494407158836689</x:v>
      </x:c>
      <x:c r="E311" s="111" t="n">
        <x:f>'Indonesian'!D159</x:f>
        <x:v>0.7913561847988078</x:v>
      </x:c>
      <x:c r="F311" s="116" t="n">
        <x:f>'Indonesian'!E159</x:f>
        <x:v>0.8581314878892734</x:v>
      </x:c>
      <x:c r="G311" s="111" t="n">
        <x:f>'Indonesian'!F159</x:f>
        <x:v>0.7017751479289941</x:v>
      </x:c>
      <x:c r="H311" s="111" t="n">
        <x:f>'Indonesian'!G159</x:f>
        <x:v>0.8203240058910162</x:v>
      </x:c>
      <x:c r="I311" s="116" t="n">
        <x:f>AVERAGE(D311:H311)</x:f>
        <x:v>0.7842055084783521</x:v>
      </x:c>
      <x:c r="J311" s="67"/>
      <x:c r="K311" s="67"/>
      <x:c r="L311" s="67"/>
    </x:row>
    <x:row r="312" ht="24" customHeight="1">
      <x:c r="A312" s="67"/>
      <x:c r="B312" s="67"/>
      <x:c r="C312" s="67"/>
      <x:c r="D312" s="67"/>
      <x:c r="E312" s="67"/>
      <x:c r="F312" s="67"/>
      <x:c r="G312" s="67"/>
      <x:c r="H312" s="67"/>
      <x:c r="I312" s="67"/>
      <x:c r="J312" s="67"/>
      <x:c r="K312" s="67"/>
      <x:c r="L312" s="67"/>
    </x:row>
    <x:row r="313" ht="24" customHeight="1">
      <x:c r="A313" s="67"/>
      <x:c r="B313" s="67"/>
      <x:c r="C313" s="67"/>
      <x:c r="D313" s="67"/>
      <x:c r="E313" s="67"/>
      <x:c r="F313" s="67"/>
      <x:c r="G313" s="67"/>
      <x:c r="H313" s="67"/>
      <x:c r="I313" s="67"/>
      <x:c r="J313" s="67"/>
      <x:c r="K313" s="67"/>
      <x:c r="L313" s="67"/>
    </x:row>
    <x:row r="314" ht="29" customHeight="1">
      <x:c r="A314" s="67"/>
      <x:c r="B314" s="72" t="str">
        <x:v>TABLE 20.</x:v>
      </x:c>
      <x:c r="C314" s="77" t="str">
        <x:v>Indonesian emotion classification recall.</x:v>
      </x:c>
      <x:c r="D314"/>
      <x:c r="E314"/>
      <x:c r="F314"/>
      <x:c r="G314"/>
      <x:c r="H314"/>
      <x:c r="I314"/>
      <x:c r="J314" s="67"/>
      <x:c r="K314" s="67"/>
      <x:c r="L314" s="67"/>
    </x:row>
    <x:row r="315" ht="21" customHeight="1">
      <x:c r="A315" s="67"/>
      <x:c r="B315" s="82" t="str">
        <x:v>Indonesian: emotion, n = 4,403</x:v>
      </x:c>
      <x:c r="C315"/>
      <x:c r="D315"/>
      <x:c r="E315"/>
      <x:c r="F315"/>
      <x:c r="G315"/>
      <x:c r="H315"/>
      <x:c r="I315"/>
      <x:c r="J315" s="67"/>
      <x:c r="K315" s="67"/>
      <x:c r="L315" s="67"/>
    </x:row>
    <x:row r="316" ht="9" customHeight="1">
      <x:c r="A316" s="67"/>
      <x:c r="B316" s="67"/>
      <x:c r="C316" s="67"/>
      <x:c r="D316" s="67"/>
      <x:c r="E316" s="67"/>
      <x:c r="F316" s="67"/>
      <x:c r="G316" s="67"/>
      <x:c r="H316" s="67"/>
      <x:c r="I316" s="67"/>
      <x:c r="J316" s="67"/>
      <x:c r="K316" s="67"/>
      <x:c r="L316" s="67"/>
    </x:row>
    <x:row r="317" ht="42" customHeight="1">
      <x:c r="A317" s="67"/>
      <x:c r="B317" s="88" t="str">
        <x:v>Country</x:v>
      </x:c>
      <x:c r="C317" s="88" t="str">
        <x:v>Model</x:v>
      </x:c>
      <x:c r="D317" s="90" t="str">
        <x:v>anger</x:v>
      </x:c>
      <x:c r="E317" s="90" t="str">
        <x:v>fear</x:v>
      </x:c>
      <x:c r="F317" s="90" t="str">
        <x:v>happy</x:v>
      </x:c>
      <x:c r="G317" s="90" t="str">
        <x:v>love</x:v>
      </x:c>
      <x:c r="H317" s="90" t="str">
        <x:v>sadness</x:v>
      </x:c>
      <x:c r="I317" s="90" t="str">
        <x:v>Macro-
Recall</x:v>
      </x:c>
      <x:c r="J317" s="67"/>
      <x:c r="K317" s="67"/>
      <x:c r="L317" s="67"/>
    </x:row>
    <x:row r="318" ht="24" customHeight="1">
      <x:c r="A318" s="67"/>
      <x:c r="B318" s="92" t="str">
        <x:v>Indonesian</x:v>
      </x:c>
      <x:c r="C318" s="92" t="str">
        <x:v>nimble:9b</x:v>
      </x:c>
      <x:c r="D318" s="97" t="n">
        <x:f>'Indonesian'!C166</x:f>
        <x:v>0.8811252268602541</x:v>
      </x:c>
      <x:c r="E318" s="97" t="n">
        <x:f>'Indonesian'!D166</x:f>
        <x:v>0.7503852080123267</x:v>
      </x:c>
      <x:c r="F318" s="102" t="n">
        <x:f>'Indonesian'!E166</x:f>
        <x:v>0.7807276302851525</x:v>
      </x:c>
      <x:c r="G318" s="97" t="n">
        <x:f>'Indonesian'!F166</x:f>
        <x:v>0.9073783359497644</x:v>
      </x:c>
      <x:c r="H318" s="97" t="n">
        <x:f>'Indonesian'!G166</x:f>
        <x:v>0.4088176352705411</x:v>
      </x:c>
      <x:c r="I318" s="97" t="n">
        <x:f>AVERAGE(D318:H318)</x:f>
        <x:v>0.7456868072756077</x:v>
      </x:c>
      <x:c r="J318" s="67"/>
      <x:c r="K318" s="67"/>
      <x:c r="L318" s="67"/>
    </x:row>
    <x:row r="319" ht="24" customHeight="1">
      <x:c r="A319" s="67"/>
      <x:c r="B319" s="92" t="str">
        <x:v>Indonesian</x:v>
      </x:c>
      <x:c r="C319" s="92" t="str">
        <x:v>tev1:0.8b</x:v>
      </x:c>
      <x:c r="D319" s="97" t="n">
        <x:f>'Indonesian'!C167</x:f>
        <x:v>0.8747731397459165</x:v>
      </x:c>
      <x:c r="E319" s="97" t="n">
        <x:f>'Indonesian'!D167</x:f>
        <x:v>0.485362095531587</x:v>
      </x:c>
      <x:c r="F319" s="97" t="n">
        <x:f>'Indonesian'!E167</x:f>
        <x:v>0.6342182890855457</x:v>
      </x:c>
      <x:c r="G319" s="97" t="n">
        <x:f>'Indonesian'!F167</x:f>
        <x:v>0.8053375196232339</x:v>
      </x:c>
      <x:c r="H319" s="97" t="n">
        <x:f>'Indonesian'!G167</x:f>
        <x:v>0.2494989979959919</x:v>
      </x:c>
      <x:c r="I319" s="97" t="n">
        <x:f>AVERAGE(D319:H319)</x:f>
        <x:v>0.6098380083964551</x:v>
      </x:c>
      <x:c r="J319" s="67"/>
      <x:c r="K319" s="67"/>
      <x:c r="L319" s="67"/>
    </x:row>
    <x:row r="320" ht="24" customHeight="1">
      <x:c r="A320" s="67"/>
      <x:c r="B320" s="92" t="str">
        <x:v>Indonesian</x:v>
      </x:c>
      <x:c r="C320" s="92" t="str">
        <x:v>tev1:4b</x:v>
      </x:c>
      <x:c r="D320" s="102" t="n">
        <x:f>'Indonesian'!C168</x:f>
        <x:v>0.912885662431942</x:v>
      </x:c>
      <x:c r="E320" s="97" t="n">
        <x:f>'Indonesian'!D168</x:f>
        <x:v>0.6979969183359014</x:v>
      </x:c>
      <x:c r="F320" s="97" t="n">
        <x:f>'Indonesian'!E168</x:f>
        <x:v>0.7649950835791544</x:v>
      </x:c>
      <x:c r="G320" s="97" t="n">
        <x:f>'Indonesian'!F168</x:f>
        <x:v>0.8885400313971743</x:v>
      </x:c>
      <x:c r="H320" s="97" t="n">
        <x:f>'Indonesian'!G168</x:f>
        <x:v>0.4428857715430861</x:v>
      </x:c>
      <x:c r="I320" s="97" t="n">
        <x:f>AVERAGE(D320:H320)</x:f>
        <x:v>0.7414606934574517</x:v>
      </x:c>
      <x:c r="J320" s="67"/>
      <x:c r="K320" s="67"/>
      <x:c r="L320" s="67"/>
    </x:row>
    <x:row r="321" ht="24" customHeight="1">
      <x:c r="A321" s="67"/>
      <x:c r="B321" s="107" t="str">
        <x:v>Indonesian</x:v>
      </x:c>
      <x:c r="C321" s="107" t="str">
        <x:v>typesafe/jev-1.13</x:v>
      </x:c>
      <x:c r="D321" s="111" t="n">
        <x:f>'Indonesian'!C169</x:f>
        <x:v>0.911978221415608</x:v>
      </x:c>
      <x:c r="E321" s="116" t="n">
        <x:f>'Indonesian'!D169</x:f>
        <x:v>0.8181818181818182</x:v>
      </x:c>
      <x:c r="F321" s="111" t="n">
        <x:f>'Indonesian'!E169</x:f>
        <x:v>0.7315634218289085</x:v>
      </x:c>
      <x:c r="G321" s="116" t="n">
        <x:f>'Indonesian'!F169</x:f>
        <x:v>0.9309262166405023</x:v>
      </x:c>
      <x:c r="H321" s="116" t="n">
        <x:f>'Indonesian'!G169</x:f>
        <x:v>0.5581162324649298</x:v>
      </x:c>
      <x:c r="I321" s="116" t="n">
        <x:f>AVERAGE(D321:H321)</x:f>
        <x:v>0.7901531821063534</x:v>
      </x:c>
      <x:c r="J321" s="67"/>
      <x:c r="K321" s="67"/>
      <x:c r="L321" s="67"/>
    </x:row>
    <x:row r="322" ht="24" customHeight="1">
      <x:c r="A322" s="67"/>
      <x:c r="B322" s="67"/>
      <x:c r="C322" s="67"/>
      <x:c r="D322" s="67"/>
      <x:c r="E322" s="67"/>
      <x:c r="F322" s="67"/>
      <x:c r="G322" s="67"/>
      <x:c r="H322" s="67"/>
      <x:c r="I322" s="67"/>
      <x:c r="J322" s="67"/>
      <x:c r="K322" s="67"/>
      <x:c r="L322" s="67"/>
    </x:row>
    <x:row r="323" ht="24" customHeight="1">
      <x:c r="A323" s="67"/>
      <x:c r="B323" s="67"/>
      <x:c r="C323" s="67"/>
      <x:c r="D323" s="67"/>
      <x:c r="E323" s="67"/>
      <x:c r="F323" s="67"/>
      <x:c r="G323" s="67"/>
      <x:c r="H323" s="67"/>
      <x:c r="I323" s="67"/>
      <x:c r="J323" s="67"/>
      <x:c r="K323" s="67"/>
      <x:c r="L323" s="67"/>
    </x:row>
    <x:row r="324" ht="29" customHeight="1">
      <x:c r="A324" s="67"/>
      <x:c r="B324" s="72" t="str">
        <x:v>TABLE 21.</x:v>
      </x:c>
      <x:c r="C324" s="77" t="str">
        <x:v>Indonesian emotion classification F1.</x:v>
      </x:c>
      <x:c r="D324"/>
      <x:c r="E324"/>
      <x:c r="F324"/>
      <x:c r="G324"/>
      <x:c r="H324"/>
      <x:c r="I324"/>
      <x:c r="J324" s="67"/>
      <x:c r="K324" s="67"/>
      <x:c r="L324" s="67"/>
    </x:row>
    <x:row r="325" ht="21" customHeight="1">
      <x:c r="A325" s="67"/>
      <x:c r="B325" s="82" t="str">
        <x:v>Indonesian: emotion, n = 4,403</x:v>
      </x:c>
      <x:c r="C325"/>
      <x:c r="D325"/>
      <x:c r="E325"/>
      <x:c r="F325"/>
      <x:c r="G325"/>
      <x:c r="H325"/>
      <x:c r="I325"/>
      <x:c r="J325" s="67"/>
      <x:c r="K325" s="67"/>
      <x:c r="L325" s="67"/>
    </x:row>
    <x:row r="326" ht="9" customHeight="1">
      <x:c r="A326" s="67"/>
      <x:c r="B326" s="67"/>
      <x:c r="C326" s="67"/>
      <x:c r="D326" s="67"/>
      <x:c r="E326" s="67"/>
      <x:c r="F326" s="67"/>
      <x:c r="G326" s="67"/>
      <x:c r="H326" s="67"/>
      <x:c r="I326" s="67"/>
      <x:c r="J326" s="67"/>
      <x:c r="K326" s="67"/>
      <x:c r="L326" s="67"/>
    </x:row>
    <x:row r="327" ht="42" customHeight="1">
      <x:c r="A327" s="67"/>
      <x:c r="B327" s="88" t="str">
        <x:v>Country</x:v>
      </x:c>
      <x:c r="C327" s="88" t="str">
        <x:v>Model</x:v>
      </x:c>
      <x:c r="D327" s="90" t="str">
        <x:v>anger</x:v>
      </x:c>
      <x:c r="E327" s="90" t="str">
        <x:v>fear</x:v>
      </x:c>
      <x:c r="F327" s="90" t="str">
        <x:v>happy</x:v>
      </x:c>
      <x:c r="G327" s="90" t="str">
        <x:v>love</x:v>
      </x:c>
      <x:c r="H327" s="90" t="str">
        <x:v>sadness</x:v>
      </x:c>
      <x:c r="I327" s="90" t="str">
        <x:v>Macro-F1</x:v>
      </x:c>
      <x:c r="J327" s="67"/>
      <x:c r="K327" s="67"/>
      <x:c r="L327" s="67"/>
    </x:row>
    <x:row r="328" ht="24" customHeight="1">
      <x:c r="A328" s="67"/>
      <x:c r="B328" s="92" t="str">
        <x:v>Indonesian</x:v>
      </x:c>
      <x:c r="C328" s="92" t="str">
        <x:v>nimble:9b</x:v>
      </x:c>
      <x:c r="D328" s="97" t="n">
        <x:f>'Indonesian'!C176</x:f>
        <x:v>0.7672856578427499</x:v>
      </x:c>
      <x:c r="E328" s="97" t="n">
        <x:f>'Indonesian'!D176</x:f>
        <x:v>0.7848509266720387</x:v>
      </x:c>
      <x:c r="F328" s="97" t="n">
        <x:f>'Indonesian'!E176</x:f>
        <x:v>0.7811116576487949</x:v>
      </x:c>
      <x:c r="G328" s="97" t="n">
        <x:f>'Indonesian'!F176</x:f>
        <x:v>0.7670869276708693</x:v>
      </x:c>
      <x:c r="H328" s="97" t="n">
        <x:f>'Indonesian'!G176</x:f>
        <x:v>0.5461847389558233</x:v>
      </x:c>
      <x:c r="I328" s="97" t="n">
        <x:f>AVERAGE(D328:H328)</x:f>
        <x:v>0.7293039817580553</x:v>
      </x:c>
      <x:c r="J328" s="67"/>
      <x:c r="K328" s="67"/>
      <x:c r="L328" s="67"/>
    </x:row>
    <x:row r="329" ht="24" customHeight="1">
      <x:c r="A329" s="67"/>
      <x:c r="B329" s="92" t="str">
        <x:v>Indonesian</x:v>
      </x:c>
      <x:c r="C329" s="92" t="str">
        <x:v>tev1:0.8b</x:v>
      </x:c>
      <x:c r="D329" s="97" t="n">
        <x:f>'Indonesian'!C177</x:f>
        <x:v>0.628217660475725</x:v>
      </x:c>
      <x:c r="E329" s="97" t="n">
        <x:f>'Indonesian'!D177</x:f>
        <x:v>0.6128404669260701</x:v>
      </x:c>
      <x:c r="F329" s="97" t="n">
        <x:f>'Indonesian'!E177</x:f>
        <x:v>0.6722251172485669</x:v>
      </x:c>
      <x:c r="G329" s="97" t="n">
        <x:f>'Indonesian'!F177</x:f>
        <x:v>0.7149825783972126</x:v>
      </x:c>
      <x:c r="H329" s="97" t="n">
        <x:f>'Indonesian'!G177</x:f>
        <x:v>0.3675276752767528</x:v>
      </x:c>
      <x:c r="I329" s="97" t="n">
        <x:f>AVERAGE(D329:H329)</x:f>
        <x:v>0.5991586996648655</x:v>
      </x:c>
      <x:c r="J329" s="67"/>
      <x:c r="K329" s="67"/>
      <x:c r="L329" s="67"/>
    </x:row>
    <x:row r="330" ht="24" customHeight="1">
      <x:c r="A330" s="67"/>
      <x:c r="B330" s="92" t="str">
        <x:v>Indonesian</x:v>
      </x:c>
      <x:c r="C330" s="92" t="str">
        <x:v>tev1:4b</x:v>
      </x:c>
      <x:c r="D330" s="97" t="n">
        <x:f>'Indonesian'!C178</x:f>
        <x:v>0.7589588834402112</x:v>
      </x:c>
      <x:c r="E330" s="97" t="n">
        <x:f>'Indonesian'!D178</x:f>
        <x:v>0.7626262626262627</x:v>
      </x:c>
      <x:c r="F330" s="102" t="n">
        <x:f>'Indonesian'!E178</x:f>
        <x:v>0.7910523640061007</x:v>
      </x:c>
      <x:c r="G330" s="102" t="n">
        <x:f>'Indonesian'!F178</x:f>
        <x:v>0.8016997167138811</x:v>
      </x:c>
      <x:c r="H330" s="97" t="n">
        <x:f>'Indonesian'!G178</x:f>
        <x:v>0.5566750629722922</x:v>
      </x:c>
      <x:c r="I330" s="97" t="n">
        <x:f>AVERAGE(D330:H330)</x:f>
        <x:v>0.7342024579517497</x:v>
      </x:c>
      <x:c r="J330" s="67"/>
      <x:c r="K330" s="67"/>
      <x:c r="L330" s="67"/>
    </x:row>
    <x:row r="331" ht="24" customHeight="1">
      <x:c r="A331" s="67"/>
      <x:c r="B331" s="107" t="str">
        <x:v>Indonesian</x:v>
      </x:c>
      <x:c r="C331" s="107" t="str">
        <x:v>typesafe/jev-1.13</x:v>
      </x:c>
      <x:c r="D331" s="116" t="n">
        <x:f>'Indonesian'!C179</x:f>
        <x:v>0.8227589029881294</x:v>
      </x:c>
      <x:c r="E331" s="116" t="n">
        <x:f>'Indonesian'!D179</x:f>
        <x:v>0.8045454545454546</x:v>
      </x:c>
      <x:c r="F331" s="111" t="n">
        <x:f>'Indonesian'!E179</x:f>
        <x:v>0.7898089171974523</x:v>
      </x:c>
      <x:c r="G331" s="111" t="n">
        <x:f>'Indonesian'!F179</x:f>
        <x:v>0.8002699055330634</x:v>
      </x:c>
      <x:c r="H331" s="116" t="n">
        <x:f>'Indonesian'!G179</x:f>
        <x:v>0.6642814549791294</x:v>
      </x:c>
      <x:c r="I331" s="116" t="n">
        <x:f>AVERAGE(D331:H331)</x:f>
        <x:v>0.7763329270486458</x:v>
      </x:c>
      <x:c r="J331" s="67"/>
      <x:c r="K331" s="67"/>
      <x:c r="L331" s="67"/>
    </x:row>
    <x:row r="332" ht="24" customHeight="1">
      <x:c r="A332" s="67"/>
      <x:c r="B332" s="67"/>
      <x:c r="C332" s="67"/>
      <x:c r="D332" s="67"/>
      <x:c r="E332" s="67"/>
      <x:c r="F332" s="67"/>
      <x:c r="G332" s="67"/>
      <x:c r="H332" s="67"/>
      <x:c r="I332" s="67"/>
      <x:c r="J332" s="67"/>
      <x:c r="K332" s="67"/>
      <x:c r="L332" s="67"/>
    </x:row>
    <x:row r="333" ht="24" customHeight="1">
      <x:c r="A333" s="67"/>
      <x:c r="B333" s="67"/>
      <x:c r="C333" s="67"/>
      <x:c r="D333" s="67"/>
      <x:c r="E333" s="67"/>
      <x:c r="F333" s="67"/>
      <x:c r="G333" s="67"/>
      <x:c r="H333" s="67"/>
      <x:c r="I333" s="67"/>
      <x:c r="J333" s="67"/>
      <x:c r="K333" s="67"/>
      <x:c r="L333" s="67"/>
    </x:row>
    <x:row r="334" ht="29" customHeight="1">
      <x:c r="A334" s="67"/>
      <x:c r="B334" s="72" t="str">
        <x:v>TABLE 22.</x:v>
      </x:c>
      <x:c r="C334" s="77" t="str">
        <x:v>Indonesian emotion classification support.</x:v>
      </x:c>
      <x:c r="D334"/>
      <x:c r="E334"/>
      <x:c r="F334"/>
      <x:c r="G334"/>
      <x:c r="H334"/>
      <x:c r="I334"/>
      <x:c r="J334" s="67"/>
      <x:c r="K334" s="67"/>
      <x:c r="L334" s="67"/>
    </x:row>
    <x:row r="335" ht="21" customHeight="1">
      <x:c r="A335" s="67"/>
      <x:c r="B335" s="82" t="str">
        <x:v>Indonesian: emotion, n = 4,403</x:v>
      </x:c>
      <x:c r="C335"/>
      <x:c r="D335"/>
      <x:c r="E335"/>
      <x:c r="F335"/>
      <x:c r="G335"/>
      <x:c r="H335"/>
      <x:c r="I335"/>
      <x:c r="J335" s="67"/>
      <x:c r="K335" s="67"/>
      <x:c r="L335" s="67"/>
    </x:row>
    <x:row r="336" ht="9" customHeight="1">
      <x:c r="A336" s="67"/>
      <x:c r="B336" s="67"/>
      <x:c r="C336" s="67"/>
      <x:c r="D336" s="67"/>
      <x:c r="E336" s="67"/>
      <x:c r="F336" s="67"/>
      <x:c r="G336" s="67"/>
      <x:c r="H336" s="67"/>
      <x:c r="I336" s="67"/>
      <x:c r="J336" s="67"/>
      <x:c r="K336" s="67"/>
      <x:c r="L336" s="67"/>
    </x:row>
    <x:row r="337" ht="42" customHeight="1">
      <x:c r="A337" s="67"/>
      <x:c r="B337" s="88" t="str">
        <x:v>Country</x:v>
      </x:c>
      <x:c r="C337" s="88" t="str">
        <x:v>Model</x:v>
      </x:c>
      <x:c r="D337" s="90" t="str">
        <x:v>anger</x:v>
      </x:c>
      <x:c r="E337" s="90" t="str">
        <x:v>fear</x:v>
      </x:c>
      <x:c r="F337" s="90" t="str">
        <x:v>happy</x:v>
      </x:c>
      <x:c r="G337" s="90" t="str">
        <x:v>love</x:v>
      </x:c>
      <x:c r="H337" s="90" t="str">
        <x:v>sadness</x:v>
      </x:c>
      <x:c r="I337" s="90" t="str">
        <x:v>Total</x:v>
      </x:c>
      <x:c r="J337" s="67"/>
      <x:c r="K337" s="67"/>
      <x:c r="L337" s="67"/>
    </x:row>
    <x:row r="338" ht="24" customHeight="1">
      <x:c r="A338" s="67"/>
      <x:c r="B338" s="92" t="str">
        <x:v>Indonesian</x:v>
      </x:c>
      <x:c r="C338" s="92" t="str">
        <x:v>nimble:9b</x:v>
      </x:c>
      <x:c r="D338" s="128" t="n">
        <x:f>'Indonesian'!C186</x:f>
        <x:v>1102</x:v>
      </x:c>
      <x:c r="E338" s="128" t="n">
        <x:f>'Indonesian'!D186</x:f>
        <x:v>649</x:v>
      </x:c>
      <x:c r="F338" s="128" t="n">
        <x:f>'Indonesian'!E186</x:f>
        <x:v>1017</x:v>
      </x:c>
      <x:c r="G338" s="128" t="n">
        <x:f>'Indonesian'!F186</x:f>
        <x:v>637</x:v>
      </x:c>
      <x:c r="H338" s="128" t="n">
        <x:f>'Indonesian'!G186</x:f>
        <x:v>998</x:v>
      </x:c>
      <x:c r="I338" s="128" t="n">
        <x:f>SUM(D338:H338)</x:f>
        <x:v>4403</x:v>
      </x:c>
      <x:c r="J338" s="67"/>
      <x:c r="K338" s="67"/>
      <x:c r="L338" s="67"/>
    </x:row>
    <x:row r="339" ht="24" customHeight="1">
      <x:c r="A339" s="67"/>
      <x:c r="B339" s="92" t="str">
        <x:v>Indonesian</x:v>
      </x:c>
      <x:c r="C339" s="92" t="str">
        <x:v>tev1:0.8b</x:v>
      </x:c>
      <x:c r="D339" s="128" t="n">
        <x:f>'Indonesian'!C187</x:f>
        <x:v>1102</x:v>
      </x:c>
      <x:c r="E339" s="128" t="n">
        <x:f>'Indonesian'!D187</x:f>
        <x:v>649</x:v>
      </x:c>
      <x:c r="F339" s="128" t="n">
        <x:f>'Indonesian'!E187</x:f>
        <x:v>1017</x:v>
      </x:c>
      <x:c r="G339" s="128" t="n">
        <x:f>'Indonesian'!F187</x:f>
        <x:v>637</x:v>
      </x:c>
      <x:c r="H339" s="128" t="n">
        <x:f>'Indonesian'!G187</x:f>
        <x:v>998</x:v>
      </x:c>
      <x:c r="I339" s="128" t="n">
        <x:f>SUM(D339:H339)</x:f>
        <x:v>4403</x:v>
      </x:c>
      <x:c r="J339" s="67"/>
      <x:c r="K339" s="67"/>
      <x:c r="L339" s="67"/>
    </x:row>
    <x:row r="340" ht="24" customHeight="1">
      <x:c r="A340" s="67"/>
      <x:c r="B340" s="92" t="str">
        <x:v>Indonesian</x:v>
      </x:c>
      <x:c r="C340" s="92" t="str">
        <x:v>tev1:4b</x:v>
      </x:c>
      <x:c r="D340" s="128" t="n">
        <x:f>'Indonesian'!C188</x:f>
        <x:v>1102</x:v>
      </x:c>
      <x:c r="E340" s="128" t="n">
        <x:f>'Indonesian'!D188</x:f>
        <x:v>649</x:v>
      </x:c>
      <x:c r="F340" s="128" t="n">
        <x:f>'Indonesian'!E188</x:f>
        <x:v>1017</x:v>
      </x:c>
      <x:c r="G340" s="128" t="n">
        <x:f>'Indonesian'!F188</x:f>
        <x:v>637</x:v>
      </x:c>
      <x:c r="H340" s="128" t="n">
        <x:f>'Indonesian'!G188</x:f>
        <x:v>998</x:v>
      </x:c>
      <x:c r="I340" s="128" t="n">
        <x:f>SUM(D340:H340)</x:f>
        <x:v>4403</x:v>
      </x:c>
      <x:c r="J340" s="67"/>
      <x:c r="K340" s="67"/>
      <x:c r="L340" s="67"/>
    </x:row>
    <x:row r="341" ht="24" customHeight="1">
      <x:c r="A341" s="67"/>
      <x:c r="B341" s="107" t="str">
        <x:v>Indonesian</x:v>
      </x:c>
      <x:c r="C341" s="107" t="str">
        <x:v>typesafe/jev-1.13</x:v>
      </x:c>
      <x:c r="D341" s="132" t="n">
        <x:f>'Indonesian'!C189</x:f>
        <x:v>1102</x:v>
      </x:c>
      <x:c r="E341" s="132" t="n">
        <x:f>'Indonesian'!D189</x:f>
        <x:v>649</x:v>
      </x:c>
      <x:c r="F341" s="132" t="n">
        <x:f>'Indonesian'!E189</x:f>
        <x:v>1017</x:v>
      </x:c>
      <x:c r="G341" s="132" t="n">
        <x:f>'Indonesian'!F189</x:f>
        <x:v>637</x:v>
      </x:c>
      <x:c r="H341" s="132" t="n">
        <x:f>'Indonesian'!G189</x:f>
        <x:v>998</x:v>
      </x:c>
      <x:c r="I341" s="132" t="n">
        <x:f>SUM(D341:H341)</x:f>
        <x:v>4403</x:v>
      </x:c>
      <x:c r="J341" s="67"/>
      <x:c r="K341" s="67"/>
      <x:c r="L341" s="67"/>
    </x:row>
    <x:row r="342" ht="24" customHeight="1">
      <x:c r="A342" s="67"/>
      <x:c r="B342" s="67"/>
      <x:c r="C342" s="67"/>
      <x:c r="D342" s="67"/>
      <x:c r="E342" s="67"/>
      <x:c r="F342" s="67"/>
      <x:c r="G342" s="67"/>
      <x:c r="H342" s="67"/>
      <x:c r="I342" s="67"/>
      <x:c r="J342" s="67"/>
      <x:c r="K342" s="67"/>
      <x:c r="L342" s="67"/>
    </x:row>
    <x:row r="343" ht="24" customHeight="1">
      <x:c r="A343" s="67"/>
      <x:c r="B343" s="67"/>
      <x:c r="C343" s="67"/>
      <x:c r="D343" s="67"/>
      <x:c r="E343" s="67"/>
      <x:c r="F343" s="67"/>
      <x:c r="G343" s="67"/>
      <x:c r="H343" s="67"/>
      <x:c r="I343" s="67"/>
      <x:c r="J343" s="67"/>
      <x:c r="K343" s="67"/>
      <x:c r="L343" s="67"/>
    </x:row>
    <x:row r="344" ht="29" customHeight="1">
      <x:c r="B344" s="72" t="str">
        <x:v>TABLE 23.</x:v>
      </x:c>
      <x:c r="C344" s="77" t="str">
        <x:v>Bengali emotion classification precision.</x:v>
      </x:c>
      <x:c r="D344" s="162"/>
      <x:c r="E344" s="162"/>
      <x:c r="F344" s="162"/>
      <x:c r="G344" s="162"/>
      <x:c r="H344" s="162"/>
      <x:c r="I344" s="162"/>
      <x:c r="J344" s="162"/>
    </x:row>
    <x:row r="345" ht="21" customHeight="1">
      <x:c r="B345" s="82" t="str">
        <x:v>Bengali: emotion_bn, n = 4,403</x:v>
      </x:c>
      <x:c r="C345" s="162"/>
      <x:c r="D345" s="162"/>
      <x:c r="E345" s="162"/>
      <x:c r="F345" s="162"/>
      <x:c r="G345" s="162"/>
      <x:c r="H345" s="162"/>
      <x:c r="I345" s="162"/>
      <x:c r="J345" s="162"/>
    </x:row>
    <x:row r="346" ht="9" customHeight="1">
      <x:c r="B346" s="67"/>
      <x:c r="C346" s="67"/>
      <x:c r="D346" s="67"/>
      <x:c r="E346" s="67"/>
      <x:c r="F346" s="67"/>
      <x:c r="G346" s="67"/>
      <x:c r="H346" s="67"/>
      <x:c r="I346" s="67"/>
      <x:c r="J346" s="67"/>
    </x:row>
    <x:row r="347" ht="42" customHeight="1">
      <x:c r="B347" s="88" t="str">
        <x:v>Country</x:v>
      </x:c>
      <x:c r="C347" s="88" t="str">
        <x:v>Model</x:v>
      </x:c>
      <x:c r="D347" s="90" t="str">
        <x:v>anger</x:v>
      </x:c>
      <x:c r="E347" s="90" t="str">
        <x:v>disgust</x:v>
      </x:c>
      <x:c r="F347" s="90" t="str">
        <x:v>fear</x:v>
      </x:c>
      <x:c r="G347" s="90" t="str">
        <x:v>joy</x:v>
      </x:c>
      <x:c r="H347" s="90" t="str">
        <x:v>sadness</x:v>
      </x:c>
      <x:c r="I347" s="90" t="str">
        <x:v>surprise</x:v>
      </x:c>
      <x:c r="J347" s="90" t="str">
        <x:v>Macro-
Precision</x:v>
      </x:c>
    </x:row>
    <x:row r="348" ht="24" customHeight="1">
      <x:c r="B348" s="92" t="str">
        <x:v>Bengali</x:v>
      </x:c>
      <x:c r="C348" s="92" t="str">
        <x:v>nimble:9b</x:v>
      </x:c>
      <x:c r="D348" s="97" t="n">
        <x:f>'Bengali'!C156</x:f>
        <x:v>0.42513368983957217</x:v>
      </x:c>
      <x:c r="E348" s="97" t="n">
        <x:f>'Bengali'!D156</x:f>
        <x:v>0.49393939393939396</x:v>
      </x:c>
      <x:c r="F348" s="97" t="n">
        <x:f>'Bengali'!E156</x:f>
        <x:v>0.6672932330827067</x:v>
      </x:c>
      <x:c r="G348" s="97" t="n">
        <x:f>'Bengali'!F156</x:f>
        <x:v>0.7445378151260504</x:v>
      </x:c>
      <x:c r="H348" s="97" t="n">
        <x:f>'Bengali'!G156</x:f>
        <x:v>0.6455026455026455</x:v>
      </x:c>
      <x:c r="I348" s="97" t="n">
        <x:f>'Bengali'!H156</x:f>
        <x:v>0.5813953488372093</x:v>
      </x:c>
      <x:c r="J348" s="97" t="n">
        <x:f>'Bengali'!I156</x:f>
        <x:v>0.5929670210545964</x:v>
      </x:c>
    </x:row>
    <x:row r="349" ht="24" customHeight="1">
      <x:c r="B349" s="92" t="str">
        <x:v>Bengali</x:v>
      </x:c>
      <x:c r="C349" s="92" t="str">
        <x:v>tev1:0.8b</x:v>
      </x:c>
      <x:c r="D349" s="97" t="n">
        <x:f>'Bengali'!C157</x:f>
        <x:v>0.30824372759856633</x:v>
      </x:c>
      <x:c r="E349" s="97" t="n">
        <x:f>'Bengali'!D157</x:f>
        <x:v>0.297029702970297</x:v>
      </x:c>
      <x:c r="F349" s="97" t="n">
        <x:f>'Bengali'!E157</x:f>
        <x:v>0.6111111111111112</x:v>
      </x:c>
      <x:c r="G349" s="102" t="n">
        <x:f>'Bengali'!F157</x:f>
        <x:v>0.8110367892976589</x:v>
      </x:c>
      <x:c r="H349" s="97" t="n">
        <x:f>'Bengali'!G157</x:f>
        <x:v>0.5749318801089919</x:v>
      </x:c>
      <x:c r="I349" s="97" t="n">
        <x:f>'Bengali'!H157</x:f>
        <x:v>0.38772455089820357</x:v>
      </x:c>
      <x:c r="J349" s="97" t="n">
        <x:f>'Bengali'!I157</x:f>
        <x:v>0.4983462936641381</x:v>
      </x:c>
    </x:row>
    <x:row r="350" ht="24" customHeight="1">
      <x:c r="B350" s="92" t="str">
        <x:v>Bengali</x:v>
      </x:c>
      <x:c r="C350" s="92" t="str">
        <x:v>tev1:4b</x:v>
      </x:c>
      <x:c r="D350" s="97" t="n">
        <x:f>'Bengali'!C158</x:f>
        <x:v>0.4436741767764298</x:v>
      </x:c>
      <x:c r="E350" s="97" t="n">
        <x:f>'Bengali'!D158</x:f>
        <x:v>0.4548872180451128</x:v>
      </x:c>
      <x:c r="F350" s="97" t="n">
        <x:f>'Bengali'!E158</x:f>
        <x:v>0.65</x:v>
      </x:c>
      <x:c r="G350" s="97" t="n">
        <x:f>'Bengali'!F158</x:f>
        <x:v>0.7445887445887446</x:v>
      </x:c>
      <x:c r="H350" s="97" t="n">
        <x:f>'Bengali'!G158</x:f>
        <x:v>0.6407103825136612</x:v>
      </x:c>
      <x:c r="I350" s="97" t="n">
        <x:f>'Bengali'!H158</x:f>
        <x:v>0.6120481927710844</x:v>
      </x:c>
      <x:c r="J350" s="97" t="n">
        <x:f>'Bengali'!I158</x:f>
        <x:v>0.5909847857825055</x:v>
      </x:c>
    </x:row>
    <x:row r="351" ht="24" customHeight="1">
      <x:c r="B351" s="107" t="str">
        <x:v>Bengali</x:v>
      </x:c>
      <x:c r="C351" s="107" t="str">
        <x:v>typesafe/jev-1.13</x:v>
      </x:c>
      <x:c r="D351" s="116" t="n">
        <x:f>'Bengali'!C159</x:f>
        <x:v>0.45069204152249137</x:v>
      </x:c>
      <x:c r="E351" s="116" t="n">
        <x:f>'Bengali'!D159</x:f>
        <x:v>0.5767441860465117</x:v>
      </x:c>
      <x:c r="F351" s="116" t="n">
        <x:f>'Bengali'!E159</x:f>
        <x:v>0.6846590909090909</x:v>
      </x:c>
      <x:c r="G351" s="111" t="n">
        <x:f>'Bengali'!F159</x:f>
        <x:v>0.7914485165794066</x:v>
      </x:c>
      <x:c r="H351" s="116" t="n">
        <x:f>'Bengali'!G159</x:f>
        <x:v>0.6878980891719745</x:v>
      </x:c>
      <x:c r="I351" s="116" t="n">
        <x:f>'Bengali'!H159</x:f>
        <x:v>0.6952141057934509</x:v>
      </x:c>
      <x:c r="J351" s="116" t="n">
        <x:f>'Bengali'!I159</x:f>
        <x:v>0.6477760050038209</x:v>
      </x:c>
    </x:row>
    <x:row r="354" ht="29" customHeight="1">
      <x:c r="B354" s="72" t="str">
        <x:v>TABLE 24.</x:v>
      </x:c>
      <x:c r="C354" s="77" t="str">
        <x:v>Bengali emotion classification recall.</x:v>
      </x:c>
      <x:c r="D354" s="162"/>
      <x:c r="E354" s="162"/>
      <x:c r="F354" s="162"/>
      <x:c r="G354" s="162"/>
      <x:c r="H354" s="162"/>
      <x:c r="I354" s="162"/>
      <x:c r="J354" s="162"/>
    </x:row>
    <x:row r="355" ht="21" customHeight="1">
      <x:c r="B355" s="82" t="str">
        <x:v>Bengali: emotion_bn, n = 4,403</x:v>
      </x:c>
      <x:c r="C355" s="162"/>
      <x:c r="D355" s="162"/>
      <x:c r="E355" s="162"/>
      <x:c r="F355" s="162"/>
      <x:c r="G355" s="162"/>
      <x:c r="H355" s="162"/>
      <x:c r="I355" s="162"/>
      <x:c r="J355" s="162"/>
    </x:row>
    <x:row r="356" ht="9" customHeight="1">
      <x:c r="B356" s="67"/>
      <x:c r="C356" s="67"/>
      <x:c r="D356" s="67"/>
      <x:c r="E356" s="67"/>
      <x:c r="F356" s="67"/>
      <x:c r="G356" s="67"/>
      <x:c r="H356" s="67"/>
      <x:c r="I356" s="67"/>
      <x:c r="J356" s="67"/>
    </x:row>
    <x:row r="357" ht="42" customHeight="1">
      <x:c r="B357" s="88" t="str">
        <x:v>Country</x:v>
      </x:c>
      <x:c r="C357" s="88" t="str">
        <x:v>Model</x:v>
      </x:c>
      <x:c r="D357" s="90" t="str">
        <x:v>anger</x:v>
      </x:c>
      <x:c r="E357" s="90" t="str">
        <x:v>disgust</x:v>
      </x:c>
      <x:c r="F357" s="90" t="str">
        <x:v>fear</x:v>
      </x:c>
      <x:c r="G357" s="90" t="str">
        <x:v>joy</x:v>
      </x:c>
      <x:c r="H357" s="90" t="str">
        <x:v>sadness</x:v>
      </x:c>
      <x:c r="I357" s="90" t="str">
        <x:v>surprise</x:v>
      </x:c>
      <x:c r="J357" s="90" t="str">
        <x:v>Macro-
Recall</x:v>
      </x:c>
    </x:row>
    <x:row r="358" ht="24" customHeight="1">
      <x:c r="B358" s="92" t="str">
        <x:v>Bengali</x:v>
      </x:c>
      <x:c r="C358" s="92" t="str">
        <x:v>nimble:9b</x:v>
      </x:c>
      <x:c r="D358" s="97" t="n">
        <x:f>'Bengali'!C166</x:f>
        <x:v>0.6708860759493671</x:v>
      </x:c>
      <x:c r="E358" s="97" t="n">
        <x:f>'Bengali'!D166</x:f>
        <x:v>0.1856492027334852</x:v>
      </x:c>
      <x:c r="F358" s="97" t="n">
        <x:f>'Bengali'!E166</x:f>
        <x:v>0.6362007168458781</x:v>
      </x:c>
      <x:c r="G358" s="97" t="n">
        <x:f>'Bengali'!F166</x:f>
        <x:v>0.8669275929549902</x:v>
      </x:c>
      <x:c r="H358" s="97" t="n">
        <x:f>'Bengali'!G166</x:f>
        <x:v>0.6208651399491094</x:v>
      </x:c>
      <x:c r="I358" s="97" t="n">
        <x:f>'Bengali'!H166</x:f>
        <x:v>0.6138392857142857</x:v>
      </x:c>
      <x:c r="J358" s="97" t="n">
        <x:f>'Bengali'!I166</x:f>
        <x:v>0.5990613356911859</x:v>
      </x:c>
    </x:row>
    <x:row r="359" ht="24" customHeight="1">
      <x:c r="B359" s="92" t="str">
        <x:v>Bengali</x:v>
      </x:c>
      <x:c r="C359" s="92" t="str">
        <x:v>tev1:0.8b</x:v>
      </x:c>
      <x:c r="D359" s="97" t="n">
        <x:f>'Bengali'!C167</x:f>
        <x:v>0.3628691983122363</x:v>
      </x:c>
      <x:c r="E359" s="102" t="n">
        <x:f>'Bengali'!D167</x:f>
        <x:v>0.5808656036446469</x:v>
      </x:c>
      <x:c r="F359" s="97" t="n">
        <x:f>'Bengali'!E167</x:f>
        <x:v>0.23655913978494625</x:v>
      </x:c>
      <x:c r="G359" s="97" t="n">
        <x:f>'Bengali'!F167</x:f>
        <x:v>0.474559686888454</x:v>
      </x:c>
      <x:c r="H359" s="97" t="n">
        <x:f>'Bengali'!G167</x:f>
        <x:v>0.2684478371501272</x:v>
      </x:c>
      <x:c r="I359" s="97" t="n">
        <x:f>'Bengali'!H167</x:f>
        <x:v>0.578125</x:v>
      </x:c>
      <x:c r="J359" s="97" t="n">
        <x:f>'Bengali'!I167</x:f>
        <x:v>0.41690441096340175</x:v>
      </x:c>
    </x:row>
    <x:row r="360" ht="24" customHeight="1">
      <x:c r="B360" s="92" t="str">
        <x:v>Bengali</x:v>
      </x:c>
      <x:c r="C360" s="92" t="str">
        <x:v>tev1:4b</x:v>
      </x:c>
      <x:c r="D360" s="97" t="n">
        <x:f>'Bengali'!C168</x:f>
        <x:v>0.360056258790436</x:v>
      </x:c>
      <x:c r="E360" s="97" t="n">
        <x:f>'Bengali'!D168</x:f>
        <x:v>0.55125284738041</x:v>
      </x:c>
      <x:c r="F360" s="97" t="n">
        <x:f>'Bengali'!E168</x:f>
        <x:v>0.53584229390681</x:v>
      </x:c>
      <x:c r="G360" s="97" t="n">
        <x:f>'Bengali'!F168</x:f>
        <x:v>0.8414872798434442</x:v>
      </x:c>
      <x:c r="H360" s="97" t="n">
        <x:f>'Bengali'!G168</x:f>
        <x:v>0.5966921119592875</x:v>
      </x:c>
      <x:c r="I360" s="97" t="n">
        <x:f>'Bengali'!H168</x:f>
        <x:v>0.5669642857142857</x:v>
      </x:c>
      <x:c r="J360" s="97" t="n">
        <x:f>'Bengali'!I168</x:f>
        <x:v>0.5753825129324456</x:v>
      </x:c>
    </x:row>
    <x:row r="361" ht="24" customHeight="1">
      <x:c r="B361" s="107" t="str">
        <x:v>Bengali</x:v>
      </x:c>
      <x:c r="C361" s="107" t="str">
        <x:v>typesafe/jev-1.13</x:v>
      </x:c>
      <x:c r="D361" s="116" t="n">
        <x:f>'Bengali'!C169</x:f>
        <x:v>0.7327707454289732</x:v>
      </x:c>
      <x:c r="E361" s="111" t="n">
        <x:f>'Bengali'!D169</x:f>
        <x:v>0.14123006833712984</x:v>
      </x:c>
      <x:c r="F361" s="116" t="n">
        <x:f>'Bengali'!E169</x:f>
        <x:v>0.8637992831541219</x:v>
      </x:c>
      <x:c r="G361" s="116" t="n">
        <x:f>'Bengali'!F169</x:f>
        <x:v>0.8874755381604696</x:v>
      </x:c>
      <x:c r="H361" s="116" t="n">
        <x:f>'Bengali'!G169</x:f>
        <x:v>0.6870229007633588</x:v>
      </x:c>
      <x:c r="I361" s="116" t="n">
        <x:f>'Bengali'!H169</x:f>
        <x:v>0.6160714285714286</x:v>
      </x:c>
      <x:c r="J361" s="116" t="n">
        <x:f>'Bengali'!I169</x:f>
        <x:v>0.6547283274025802</x:v>
      </x:c>
    </x:row>
    <x:row r="364" ht="29" customHeight="1">
      <x:c r="B364" s="72" t="str">
        <x:v>TABLE 25.</x:v>
      </x:c>
      <x:c r="C364" s="77" t="str">
        <x:v>Bengali emotion classification F1.</x:v>
      </x:c>
      <x:c r="D364" s="162"/>
      <x:c r="E364" s="162"/>
      <x:c r="F364" s="162"/>
      <x:c r="G364" s="162"/>
      <x:c r="H364" s="162"/>
      <x:c r="I364" s="162"/>
      <x:c r="J364" s="162"/>
    </x:row>
    <x:row r="365" ht="21" customHeight="1">
      <x:c r="B365" s="82" t="str">
        <x:v>Bengali: emotion_bn, n = 4,403</x:v>
      </x:c>
      <x:c r="C365" s="162"/>
      <x:c r="D365" s="162"/>
      <x:c r="E365" s="162"/>
      <x:c r="F365" s="162"/>
      <x:c r="G365" s="162"/>
      <x:c r="H365" s="162"/>
      <x:c r="I365" s="162"/>
      <x:c r="J365" s="162"/>
    </x:row>
    <x:row r="366" ht="9" customHeight="1">
      <x:c r="B366" s="67"/>
      <x:c r="C366" s="67"/>
      <x:c r="D366" s="67"/>
      <x:c r="E366" s="67"/>
      <x:c r="F366" s="67"/>
      <x:c r="G366" s="67"/>
      <x:c r="H366" s="67"/>
      <x:c r="I366" s="67"/>
      <x:c r="J366" s="67"/>
    </x:row>
    <x:row r="367" ht="42" customHeight="1">
      <x:c r="B367" s="88" t="str">
        <x:v>Country</x:v>
      </x:c>
      <x:c r="C367" s="88" t="str">
        <x:v>Model</x:v>
      </x:c>
      <x:c r="D367" s="90" t="str">
        <x:v>anger</x:v>
      </x:c>
      <x:c r="E367" s="90" t="str">
        <x:v>disgust</x:v>
      </x:c>
      <x:c r="F367" s="90" t="str">
        <x:v>fear</x:v>
      </x:c>
      <x:c r="G367" s="90" t="str">
        <x:v>joy</x:v>
      </x:c>
      <x:c r="H367" s="90" t="str">
        <x:v>sadness</x:v>
      </x:c>
      <x:c r="I367" s="90" t="str">
        <x:v>surprise</x:v>
      </x:c>
      <x:c r="J367" s="90" t="str">
        <x:v>Macro-F1</x:v>
      </x:c>
    </x:row>
    <x:row r="368" ht="24" customHeight="1">
      <x:c r="B368" s="92" t="str">
        <x:v>Bengali</x:v>
      </x:c>
      <x:c r="C368" s="92" t="str">
        <x:v>nimble:9b</x:v>
      </x:c>
      <x:c r="D368" s="97" t="n">
        <x:f>'Bengali'!C176</x:f>
        <x:v>0.5204582651391162</x:v>
      </x:c>
      <x:c r="E368" s="97" t="n">
        <x:f>'Bengali'!D176</x:f>
        <x:v>0.26986754966887416</x:v>
      </x:c>
      <x:c r="F368" s="97" t="n">
        <x:f>'Bengali'!E176</x:f>
        <x:v>0.6513761467889908</x:v>
      </x:c>
      <x:c r="G368" s="97" t="n">
        <x:f>'Bengali'!F176</x:f>
        <x:v>0.8010849909584087</x:v>
      </x:c>
      <x:c r="H368" s="97" t="n">
        <x:f>'Bengali'!G176</x:f>
        <x:v>0.6329442282749675</x:v>
      </x:c>
      <x:c r="I368" s="97" t="n">
        <x:f>'Bengali'!H176</x:f>
        <x:v>0.5971769815418024</x:v>
      </x:c>
      <x:c r="J368" s="97" t="n">
        <x:f>'Bengali'!I176</x:f>
        <x:v>0.5788180270620266</x:v>
      </x:c>
    </x:row>
    <x:row r="369" ht="24" customHeight="1">
      <x:c r="B369" s="92" t="str">
        <x:v>Bengali</x:v>
      </x:c>
      <x:c r="C369" s="92" t="str">
        <x:v>tev1:0.8b</x:v>
      </x:c>
      <x:c r="D369" s="97" t="n">
        <x:f>'Bengali'!C177</x:f>
        <x:v>0.3333333333333333</x:v>
      </x:c>
      <x:c r="E369" s="97" t="n">
        <x:f>'Bengali'!D177</x:f>
        <x:v>0.3930635838150289</x:v>
      </x:c>
      <x:c r="F369" s="97" t="n">
        <x:f>'Bengali'!E177</x:f>
        <x:v>0.34108527131782945</x:v>
      </x:c>
      <x:c r="G369" s="97" t="n">
        <x:f>'Bengali'!F177</x:f>
        <x:v>0.5987654320987654</x:v>
      </x:c>
      <x:c r="H369" s="97" t="n">
        <x:f>'Bengali'!G177</x:f>
        <x:v>0.36600173460537727</x:v>
      </x:c>
      <x:c r="I369" s="97" t="n">
        <x:f>'Bengali'!H177</x:f>
        <x:v>0.46415770609318996</x:v>
      </x:c>
      <x:c r="J369" s="97" t="n">
        <x:f>'Bengali'!I177</x:f>
        <x:v>0.4160678435439207</x:v>
      </x:c>
    </x:row>
    <x:row r="370" ht="24" customHeight="1">
      <x:c r="B370" s="92" t="str">
        <x:v>Bengali</x:v>
      </x:c>
      <x:c r="C370" s="92" t="str">
        <x:v>tev1:4b</x:v>
      </x:c>
      <x:c r="D370" s="97" t="n">
        <x:f>'Bengali'!C178</x:f>
        <x:v>0.39751552795031053</x:v>
      </x:c>
      <x:c r="E370" s="102" t="n">
        <x:f>'Bengali'!D178</x:f>
        <x:v>0.4984552008238929</x:v>
      </x:c>
      <x:c r="F370" s="97" t="n">
        <x:f>'Bengali'!E178</x:f>
        <x:v>0.587426326129666</x:v>
      </x:c>
      <x:c r="G370" s="97" t="n">
        <x:f>'Bengali'!F178</x:f>
        <x:v>0.7900780891134589</x:v>
      </x:c>
      <x:c r="H370" s="97" t="n">
        <x:f>'Bengali'!G178</x:f>
        <x:v>0.6179183135704874</x:v>
      </x:c>
      <x:c r="I370" s="97" t="n">
        <x:f>'Bengali'!H178</x:f>
        <x:v>0.5886442641946698</x:v>
      </x:c>
      <x:c r="J370" s="97" t="n">
        <x:f>'Bengali'!I178</x:f>
        <x:v>0.5800062869637476</x:v>
      </x:c>
    </x:row>
    <x:row r="371" ht="24" customHeight="1">
      <x:c r="B371" s="107" t="str">
        <x:v>Bengali</x:v>
      </x:c>
      <x:c r="C371" s="107" t="str">
        <x:v>typesafe/jev-1.13</x:v>
      </x:c>
      <x:c r="D371" s="116" t="n">
        <x:f>'Bengali'!C179</x:f>
        <x:v>0.5581146223888591</x:v>
      </x:c>
      <x:c r="E371" s="111" t="n">
        <x:f>'Bengali'!D179</x:f>
        <x:v>0.22689844464775846</x:v>
      </x:c>
      <x:c r="F371" s="116" t="n">
        <x:f>'Bengali'!E179</x:f>
        <x:v>0.7638668779714739</x:v>
      </x:c>
      <x:c r="G371" s="116" t="n">
        <x:f>'Bengali'!F179</x:f>
        <x:v>0.8367158671586716</x:v>
      </x:c>
      <x:c r="H371" s="116" t="n">
        <x:f>'Bengali'!G179</x:f>
        <x:v>0.6874602164226608</x:v>
      </x:c>
      <x:c r="I371" s="116" t="n">
        <x:f>'Bengali'!H179</x:f>
        <x:v>0.6532544378698225</x:v>
      </x:c>
      <x:c r="J371" s="116" t="n">
        <x:f>'Bengali'!I179</x:f>
        <x:v>0.6210517444098744</x:v>
      </x:c>
    </x:row>
    <x:row r="374" ht="29" customHeight="1">
      <x:c r="B374" s="72" t="str">
        <x:v>TABLE 26.</x:v>
      </x:c>
      <x:c r="C374" s="77" t="str">
        <x:v>Bengali emotion classification support.</x:v>
      </x:c>
      <x:c r="D374" s="162"/>
      <x:c r="E374" s="162"/>
      <x:c r="F374" s="162"/>
      <x:c r="G374" s="162"/>
      <x:c r="H374" s="162"/>
      <x:c r="I374" s="162"/>
      <x:c r="J374" s="162"/>
    </x:row>
    <x:row r="375" ht="21" customHeight="1">
      <x:c r="B375" s="82" t="str">
        <x:v>Bengali: emotion_bn, n = 4,403</x:v>
      </x:c>
      <x:c r="C375" s="162"/>
      <x:c r="D375" s="162"/>
      <x:c r="E375" s="162"/>
      <x:c r="F375" s="162"/>
      <x:c r="G375" s="162"/>
      <x:c r="H375" s="162"/>
      <x:c r="I375" s="162"/>
      <x:c r="J375" s="162"/>
    </x:row>
    <x:row r="376" ht="9" customHeight="1">
      <x:c r="B376" s="67"/>
      <x:c r="C376" s="67"/>
      <x:c r="D376" s="67"/>
      <x:c r="E376" s="67"/>
      <x:c r="F376" s="67"/>
      <x:c r="G376" s="67"/>
      <x:c r="H376" s="67"/>
      <x:c r="I376" s="67"/>
      <x:c r="J376" s="67"/>
    </x:row>
    <x:row r="377" ht="42" customHeight="1">
      <x:c r="B377" s="88" t="str">
        <x:v>Country</x:v>
      </x:c>
      <x:c r="C377" s="88" t="str">
        <x:v>Model</x:v>
      </x:c>
      <x:c r="D377" s="90" t="str">
        <x:v>anger</x:v>
      </x:c>
      <x:c r="E377" s="90" t="str">
        <x:v>disgust</x:v>
      </x:c>
      <x:c r="F377" s="90" t="str">
        <x:v>fear</x:v>
      </x:c>
      <x:c r="G377" s="90" t="str">
        <x:v>joy</x:v>
      </x:c>
      <x:c r="H377" s="90" t="str">
        <x:v>sadness</x:v>
      </x:c>
      <x:c r="I377" s="90" t="str">
        <x:v>surprise</x:v>
      </x:c>
      <x:c r="J377" s="90" t="str">
        <x:v>Total</x:v>
      </x:c>
    </x:row>
    <x:row r="378" ht="24" customHeight="1">
      <x:c r="B378" s="92" t="str">
        <x:v>Bengali</x:v>
      </x:c>
      <x:c r="C378" s="92" t="str">
        <x:v>nimble:9b</x:v>
      </x:c>
      <x:c r="D378" s="128" t="n">
        <x:f>'Bengali'!C186</x:f>
        <x:v>711</x:v>
      </x:c>
      <x:c r="E378" s="128" t="n">
        <x:f>'Bengali'!D186</x:f>
        <x:v>878</x:v>
      </x:c>
      <x:c r="F378" s="128" t="n">
        <x:f>'Bengali'!E186</x:f>
        <x:v>558</x:v>
      </x:c>
      <x:c r="G378" s="128" t="n">
        <x:f>'Bengali'!F186</x:f>
        <x:v>1022</x:v>
      </x:c>
      <x:c r="H378" s="128" t="n">
        <x:f>'Bengali'!G186</x:f>
        <x:v>786</x:v>
      </x:c>
      <x:c r="I378" s="128" t="n">
        <x:f>'Bengali'!H186</x:f>
        <x:v>448</x:v>
      </x:c>
      <x:c r="J378" s="128" t="n">
        <x:f>'Bengali'!I186</x:f>
        <x:v>4403</x:v>
      </x:c>
    </x:row>
    <x:row r="379" ht="24" customHeight="1">
      <x:c r="B379" s="92" t="str">
        <x:v>Bengali</x:v>
      </x:c>
      <x:c r="C379" s="92" t="str">
        <x:v>tev1:0.8b</x:v>
      </x:c>
      <x:c r="D379" s="128" t="n">
        <x:f>'Bengali'!C187</x:f>
        <x:v>711</x:v>
      </x:c>
      <x:c r="E379" s="128" t="n">
        <x:f>'Bengali'!D187</x:f>
        <x:v>878</x:v>
      </x:c>
      <x:c r="F379" s="128" t="n">
        <x:f>'Bengali'!E187</x:f>
        <x:v>558</x:v>
      </x:c>
      <x:c r="G379" s="128" t="n">
        <x:f>'Bengali'!F187</x:f>
        <x:v>1022</x:v>
      </x:c>
      <x:c r="H379" s="128" t="n">
        <x:f>'Bengali'!G187</x:f>
        <x:v>786</x:v>
      </x:c>
      <x:c r="I379" s="128" t="n">
        <x:f>'Bengali'!H187</x:f>
        <x:v>448</x:v>
      </x:c>
      <x:c r="J379" s="128" t="n">
        <x:f>'Bengali'!I187</x:f>
        <x:v>4403</x:v>
      </x:c>
    </x:row>
    <x:row r="380" ht="24" customHeight="1">
      <x:c r="B380" s="92" t="str">
        <x:v>Bengali</x:v>
      </x:c>
      <x:c r="C380" s="92" t="str">
        <x:v>tev1:4b</x:v>
      </x:c>
      <x:c r="D380" s="128" t="n">
        <x:f>'Bengali'!C188</x:f>
        <x:v>711</x:v>
      </x:c>
      <x:c r="E380" s="128" t="n">
        <x:f>'Bengali'!D188</x:f>
        <x:v>878</x:v>
      </x:c>
      <x:c r="F380" s="128" t="n">
        <x:f>'Bengali'!E188</x:f>
        <x:v>558</x:v>
      </x:c>
      <x:c r="G380" s="128" t="n">
        <x:f>'Bengali'!F188</x:f>
        <x:v>1022</x:v>
      </x:c>
      <x:c r="H380" s="128" t="n">
        <x:f>'Bengali'!G188</x:f>
        <x:v>786</x:v>
      </x:c>
      <x:c r="I380" s="128" t="n">
        <x:f>'Bengali'!H188</x:f>
        <x:v>448</x:v>
      </x:c>
      <x:c r="J380" s="128" t="n">
        <x:f>'Bengali'!I188</x:f>
        <x:v>4403</x:v>
      </x:c>
    </x:row>
    <x:row r="381" ht="24" customHeight="1">
      <x:c r="B381" s="107" t="str">
        <x:v>Bengali</x:v>
      </x:c>
      <x:c r="C381" s="107" t="str">
        <x:v>typesafe/jev-1.13</x:v>
      </x:c>
      <x:c r="D381" s="132" t="n">
        <x:f>'Bengali'!C189</x:f>
        <x:v>711</x:v>
      </x:c>
      <x:c r="E381" s="132" t="n">
        <x:f>'Bengali'!D189</x:f>
        <x:v>878</x:v>
      </x:c>
      <x:c r="F381" s="132" t="n">
        <x:f>'Bengali'!E189</x:f>
        <x:v>558</x:v>
      </x:c>
      <x:c r="G381" s="132" t="n">
        <x:f>'Bengali'!F189</x:f>
        <x:v>1022</x:v>
      </x:c>
      <x:c r="H381" s="132" t="n">
        <x:f>'Bengali'!G189</x:f>
        <x:v>786</x:v>
      </x:c>
      <x:c r="I381" s="132" t="n">
        <x:f>'Bengali'!H189</x:f>
        <x:v>448</x:v>
      </x:c>
      <x:c r="J381" s="132" t="n">
        <x:f>'Bengali'!I189</x:f>
        <x:v>4403</x:v>
      </x:c>
    </x:row>
    <x:row r="384" ht="23" customHeight="1">
      <x:c r="A384" s="67"/>
      <x:c r="B384" s="82" t="str">
        <x:v>Macro-Precision, Macro-Recall and Macro-F1 are unweighted averages across the classes shown.</x:v>
      </x:c>
      <x:c r="C384"/>
      <x:c r="D384"/>
      <x:c r="E384"/>
      <x:c r="F384"/>
      <x:c r="G384"/>
      <x:c r="H384"/>
      <x:c r="I384"/>
      <x:c r="J384" s="67"/>
      <x:c r="K384" s="67"/>
      <x:c r="L384" s="67"/>
    </x:row>
    <x:row r="385" ht="23" customHeight="1">
      <x:c r="A385" s="67"/>
      <x:c r="B385" s="82" t="str">
        <x:v>Support is the number of true examples in each class. Total support is calculated across classes.</x:v>
      </x:c>
      <x:c r="C385"/>
      <x:c r="D385"/>
      <x:c r="E385"/>
      <x:c r="F385"/>
      <x:c r="G385"/>
      <x:c r="H385"/>
      <x:c r="I385"/>
      <x:c r="J385" s="67"/>
      <x:c r="K385" s="67"/>
      <x:c r="L385" s="67"/>
    </x:row>
    <x:row r="386" ht="23" customHeight="1">
      <x:c r="A386" s="67"/>
      <x:c r="B386" s="82" t="str">
        <x:v>Best scores are bold within each country and class; ties are included. Original class labels are retained.</x:v>
      </x:c>
      <x:c r="C386"/>
      <x:c r="D386"/>
      <x:c r="E386"/>
      <x:c r="F386"/>
      <x:c r="G386"/>
      <x:c r="H386"/>
      <x:c r="I386"/>
      <x:c r="J386" s="67"/>
      <x:c r="K386" s="67"/>
      <x:c r="L386" s="67"/>
    </x:row>
    <x:row r="387" ht="24" customHeight="1">
      <x:c r="A387" s="67"/>
      <x:c r="B387" s="67"/>
      <x:c r="C387" s="67"/>
      <x:c r="D387" s="67"/>
      <x:c r="E387" s="67"/>
      <x:c r="F387" s="67"/>
      <x:c r="G387" s="67"/>
      <x:c r="H387" s="67"/>
      <x:c r="I387" s="67"/>
      <x:c r="J387" s="67"/>
      <x:c r="K387" s="67"/>
      <x:c r="L387" s="67"/>
    </x:row>
    <x:row r="388" ht="24" customHeight="1">
      <x:c r="A388" s="67"/>
      <x:c r="B388" s="67"/>
      <x:c r="C388" s="67"/>
      <x:c r="D388" s="67"/>
      <x:c r="E388" s="67"/>
      <x:c r="F388" s="67"/>
      <x:c r="G388" s="67"/>
      <x:c r="H388" s="67"/>
      <x:c r="I388" s="67"/>
      <x:c r="J388" s="67"/>
      <x:c r="K388" s="67"/>
      <x:c r="L388" s="67"/>
    </x:row>
    <x:row r="389" ht="24" customHeight="1">
      <x:c r="A389" s="67"/>
      <x:c r="B389" s="67"/>
      <x:c r="C389" s="67"/>
      <x:c r="D389" s="67"/>
      <x:c r="E389" s="67"/>
      <x:c r="F389" s="67"/>
      <x:c r="G389" s="67"/>
      <x:c r="H389" s="67"/>
      <x:c r="I389" s="67"/>
      <x:c r="J389" s="67"/>
      <x:c r="K389" s="67"/>
      <x:c r="L389" s="67"/>
    </x:row>
    <x:row r="390" ht="24" customHeight="1">
      <x:c r="A390" s="67"/>
      <x:c r="B390" s="67"/>
      <x:c r="C390" s="67"/>
      <x:c r="D390" s="67"/>
      <x:c r="E390" s="67"/>
      <x:c r="F390" s="67"/>
      <x:c r="G390" s="67"/>
      <x:c r="H390" s="67"/>
      <x:c r="I390" s="67"/>
      <x:c r="J390" s="67"/>
      <x:c r="K390" s="67"/>
      <x:c r="L390" s="67"/>
    </x:row>
    <x:row r="391" ht="24" customHeight="1">
      <x:c r="A391" s="67"/>
      <x:c r="B391" s="67"/>
      <x:c r="C391" s="67"/>
      <x:c r="D391" s="67"/>
      <x:c r="E391" s="67"/>
      <x:c r="F391" s="67"/>
      <x:c r="G391" s="67"/>
      <x:c r="H391" s="67"/>
      <x:c r="I391" s="67"/>
      <x:c r="J391" s="67"/>
      <x:c r="K391" s="67"/>
      <x:c r="L391" s="67"/>
    </x:row>
    <x:row r="392" ht="24" customHeight="1">
      <x:c r="A392" s="67"/>
      <x:c r="B392" s="67"/>
      <x:c r="C392" s="67"/>
      <x:c r="D392" s="67"/>
      <x:c r="E392" s="67"/>
      <x:c r="F392" s="67"/>
      <x:c r="G392" s="67"/>
      <x:c r="H392" s="67"/>
      <x:c r="I392" s="67"/>
      <x:c r="J392" s="67"/>
      <x:c r="K392" s="67"/>
      <x:c r="L392" s="67"/>
    </x:row>
    <x:row r="393" ht="24" customHeight="1">
      <x:c r="A393" s="67"/>
      <x:c r="B393" s="67"/>
      <x:c r="C393" s="67"/>
      <x:c r="D393" s="67"/>
      <x:c r="E393" s="67"/>
      <x:c r="F393" s="67"/>
      <x:c r="G393" s="67"/>
      <x:c r="H393" s="67"/>
      <x:c r="I393" s="67"/>
      <x:c r="J393" s="67"/>
      <x:c r="K393" s="67"/>
      <x:c r="L393" s="67"/>
    </x:row>
    <x:row r="394" ht="24" customHeight="1">
      <x:c r="A394" s="67"/>
      <x:c r="B394" s="67"/>
      <x:c r="C394" s="67"/>
      <x:c r="D394" s="67"/>
      <x:c r="E394" s="67"/>
      <x:c r="F394" s="67"/>
      <x:c r="G394" s="67"/>
      <x:c r="H394" s="67"/>
      <x:c r="I394" s="67"/>
      <x:c r="J394" s="67"/>
      <x:c r="K394" s="67"/>
      <x:c r="L394" s="67"/>
    </x:row>
    <x:row r="395" ht="24" customHeight="1">
      <x:c r="A395" s="67"/>
      <x:c r="B395" s="67"/>
      <x:c r="C395" s="67"/>
      <x:c r="D395" s="67"/>
      <x:c r="E395" s="67"/>
      <x:c r="F395" s="67"/>
      <x:c r="G395" s="67"/>
      <x:c r="H395" s="67"/>
      <x:c r="I395" s="67"/>
      <x:c r="J395" s="67"/>
      <x:c r="K395" s="67"/>
      <x:c r="L395" s="67"/>
    </x:row>
    <x:row r="396" ht="24" customHeight="1">
      <x:c r="A396" s="67"/>
      <x:c r="B396" s="67"/>
      <x:c r="C396" s="67"/>
      <x:c r="D396" s="67"/>
      <x:c r="E396" s="67"/>
      <x:c r="F396" s="67"/>
      <x:c r="G396" s="67"/>
      <x:c r="H396" s="67"/>
      <x:c r="I396" s="67"/>
      <x:c r="J396" s="67"/>
      <x:c r="K396" s="67"/>
      <x:c r="L396" s="67"/>
    </x:row>
  </x:sheetData>
  <x:mergeCells>
    <x:mergeCell ref="C334:I334"/>
    <x:mergeCell ref="C38:G38"/>
    <x:mergeCell ref="B184:I184"/>
    <x:mergeCell ref="C210:G210"/>
    <x:mergeCell ref="B165:I165"/>
    <x:mergeCell ref="C284:L284"/>
    <x:mergeCell ref="C324:I324"/>
    <x:mergeCell ref="B265:L265"/>
    <x:mergeCell ref="B229:G229"/>
    <x:mergeCell ref="B21:G21"/>
    <x:mergeCell ref="B147:I147"/>
    <x:mergeCell ref="C264:L264"/>
    <x:mergeCell ref="C314:I314"/>
    <x:mergeCell ref="B275:L275"/>
    <x:mergeCell ref="B315:I315"/>
    <x:mergeCell ref="C20:G20"/>
    <x:mergeCell ref="C192:G192"/>
    <x:mergeCell ref="C110:F110"/>
    <x:mergeCell ref="C56:G56"/>
    <x:mergeCell ref="B185:I185"/>
    <x:mergeCell ref="C304:I304"/>
    <x:mergeCell ref="C228:G228"/>
    <x:mergeCell ref="B129:F129"/>
    <x:mergeCell ref="B285:L285"/>
    <x:mergeCell ref="B75:H75"/>
    <x:mergeCell ref="C92:H92"/>
    <x:mergeCell ref="B386:I386"/>
    <x:mergeCell ref="B187:I187"/>
    <x:mergeCell ref="B111:F111"/>
    <x:mergeCell ref="B305:I305"/>
    <x:mergeCell ref="B385:I385"/>
    <x:mergeCell ref="C2:G2"/>
    <x:mergeCell ref="B57:G57"/>
    <x:mergeCell ref="C164:I164"/>
    <x:mergeCell ref="C128:F128"/>
    <x:mergeCell ref="B384:I384"/>
    <x:mergeCell ref="B186:I186"/>
    <x:mergeCell ref="B193:G193"/>
    <x:mergeCell ref="C246:G246"/>
    <x:mergeCell ref="C274:L274"/>
    <x:mergeCell ref="B335:I335"/>
    <x:mergeCell ref="B325:I325"/>
    <x:mergeCell ref="B3:G3"/>
    <x:mergeCell ref="B183:I183"/>
    <x:mergeCell ref="B295:L295"/>
    <x:mergeCell ref="C74:H74"/>
    <x:mergeCell ref="C146:I146"/>
    <x:mergeCell ref="B39:G39"/>
    <x:mergeCell ref="C294:L294"/>
    <x:mergeCell ref="B93:H93"/>
    <x:mergeCell ref="B182:I182"/>
    <x:mergeCell ref="B211:G211"/>
    <x:mergeCell ref="B247:G247"/>
    <x:mergeCell ref="C344:J344"/>
    <x:mergeCell ref="B345:J345"/>
    <x:mergeCell ref="C354:J354"/>
    <x:mergeCell ref="B355:J355"/>
    <x:mergeCell ref="C364:J364"/>
    <x:mergeCell ref="B365:J365"/>
    <x:mergeCell ref="C374:J374"/>
    <x:mergeCell ref="B375:J375"/>
  </x:mergeCells>
  <x:conditionalFormatting sqref="D6:D9">
    <x:cfRule type="expression" dxfId="507" priority="1">
      <x:formula>D6=MAX(D$6:D$9)</x:formula>
    </x:cfRule>
  </x:conditionalFormatting>
  <x:conditionalFormatting sqref="D10:D13">
    <x:cfRule type="expression" dxfId="508" priority="2">
      <x:formula>D10=MAX(D$10:D$13)</x:formula>
    </x:cfRule>
  </x:conditionalFormatting>
  <x:conditionalFormatting sqref="E6:E9">
    <x:cfRule type="expression" dxfId="509" priority="3">
      <x:formula>E6=MAX(E$6:E$9)</x:formula>
    </x:cfRule>
  </x:conditionalFormatting>
  <x:conditionalFormatting sqref="E10:E13">
    <x:cfRule type="expression" dxfId="510" priority="4">
      <x:formula>E10=MAX(E$10:E$13)</x:formula>
    </x:cfRule>
  </x:conditionalFormatting>
  <x:conditionalFormatting sqref="F6:F9">
    <x:cfRule type="expression" dxfId="511" priority="5">
      <x:formula>F6=MAX(F$6:F$9)</x:formula>
    </x:cfRule>
  </x:conditionalFormatting>
  <x:conditionalFormatting sqref="F10:F13">
    <x:cfRule type="expression" dxfId="512" priority="6">
      <x:formula>F10=MAX(F$10:F$13)</x:formula>
    </x:cfRule>
  </x:conditionalFormatting>
  <x:conditionalFormatting sqref="G6:G9">
    <x:cfRule type="expression" dxfId="513" priority="7">
      <x:formula>G6=MAX(G$6:G$9)</x:formula>
    </x:cfRule>
  </x:conditionalFormatting>
  <x:conditionalFormatting sqref="G10:G13">
    <x:cfRule type="expression" dxfId="514" priority="8">
      <x:formula>G10=MAX(G$10:G$13)</x:formula>
    </x:cfRule>
  </x:conditionalFormatting>
  <x:conditionalFormatting sqref="D24:D27">
    <x:cfRule type="expression" dxfId="515" priority="9">
      <x:formula>D24=MAX(D$24:D$27)</x:formula>
    </x:cfRule>
  </x:conditionalFormatting>
  <x:conditionalFormatting sqref="D28:D31">
    <x:cfRule type="expression" dxfId="516" priority="10">
      <x:formula>D28=MAX(D$28:D$31)</x:formula>
    </x:cfRule>
  </x:conditionalFormatting>
  <x:conditionalFormatting sqref="E24:E27">
    <x:cfRule type="expression" dxfId="517" priority="11">
      <x:formula>E24=MAX(E$24:E$27)</x:formula>
    </x:cfRule>
  </x:conditionalFormatting>
  <x:conditionalFormatting sqref="E28:E31">
    <x:cfRule type="expression" dxfId="518" priority="12">
      <x:formula>E28=MAX(E$28:E$31)</x:formula>
    </x:cfRule>
  </x:conditionalFormatting>
  <x:conditionalFormatting sqref="F24:F27">
    <x:cfRule type="expression" dxfId="519" priority="13">
      <x:formula>F24=MAX(F$24:F$27)</x:formula>
    </x:cfRule>
  </x:conditionalFormatting>
  <x:conditionalFormatting sqref="F28:F31">
    <x:cfRule type="expression" dxfId="520" priority="14">
      <x:formula>F28=MAX(F$28:F$31)</x:formula>
    </x:cfRule>
  </x:conditionalFormatting>
  <x:conditionalFormatting sqref="G24:G27">
    <x:cfRule type="expression" dxfId="521" priority="15">
      <x:formula>G24=MAX(G$24:G$27)</x:formula>
    </x:cfRule>
  </x:conditionalFormatting>
  <x:conditionalFormatting sqref="G28:G31">
    <x:cfRule type="expression" dxfId="522" priority="16">
      <x:formula>G28=MAX(G$28:G$31)</x:formula>
    </x:cfRule>
  </x:conditionalFormatting>
  <x:conditionalFormatting sqref="D78:D81">
    <x:cfRule type="expression" dxfId="523" priority="17">
      <x:formula>D78=MIN(D$78:D$81)</x:formula>
    </x:cfRule>
  </x:conditionalFormatting>
  <x:conditionalFormatting sqref="D82:D85">
    <x:cfRule type="expression" dxfId="524" priority="18">
      <x:formula>D82=MIN(D$82:D$85)</x:formula>
    </x:cfRule>
  </x:conditionalFormatting>
  <x:conditionalFormatting sqref="E78:E81">
    <x:cfRule type="expression" dxfId="525" priority="19">
      <x:formula>E78=MIN(E$78:E$81)</x:formula>
    </x:cfRule>
  </x:conditionalFormatting>
  <x:conditionalFormatting sqref="E82:E85">
    <x:cfRule type="expression" dxfId="526" priority="20">
      <x:formula>E82=MIN(E$82:E$85)</x:formula>
    </x:cfRule>
  </x:conditionalFormatting>
  <x:conditionalFormatting sqref="F78:F81">
    <x:cfRule type="expression" dxfId="527" priority="21">
      <x:formula>F78=MIN(F$78:F$81)</x:formula>
    </x:cfRule>
  </x:conditionalFormatting>
  <x:conditionalFormatting sqref="F82:F85">
    <x:cfRule type="expression" dxfId="528" priority="22">
      <x:formula>F82=MIN(F$82:F$85)</x:formula>
    </x:cfRule>
  </x:conditionalFormatting>
  <x:conditionalFormatting sqref="G78:G81">
    <x:cfRule type="expression" dxfId="529" priority="23">
      <x:formula>G78=MAX(G$78:G$81)</x:formula>
    </x:cfRule>
  </x:conditionalFormatting>
  <x:conditionalFormatting sqref="G82:G85">
    <x:cfRule type="expression" dxfId="530" priority="24">
      <x:formula>G82=MAX(G$82:G$85)</x:formula>
    </x:cfRule>
  </x:conditionalFormatting>
  <x:conditionalFormatting sqref="D96:D99">
    <x:cfRule type="expression" dxfId="531" priority="25">
      <x:formula>D96=MIN(D$96:D$99)</x:formula>
    </x:cfRule>
  </x:conditionalFormatting>
  <x:conditionalFormatting sqref="D100:D103">
    <x:cfRule type="expression" dxfId="532" priority="26">
      <x:formula>D100=MIN(D$100:D$103)</x:formula>
    </x:cfRule>
  </x:conditionalFormatting>
  <x:conditionalFormatting sqref="E96:E99">
    <x:cfRule type="expression" dxfId="533" priority="27">
      <x:formula>E96=MIN(E$96:E$99)</x:formula>
    </x:cfRule>
  </x:conditionalFormatting>
  <x:conditionalFormatting sqref="E100:E103">
    <x:cfRule type="expression" dxfId="534" priority="28">
      <x:formula>E100=MIN(E$100:E$103)</x:formula>
    </x:cfRule>
  </x:conditionalFormatting>
  <x:conditionalFormatting sqref="F96:F99">
    <x:cfRule type="expression" dxfId="535" priority="29">
      <x:formula>F96=MIN(F$96:F$99)</x:formula>
    </x:cfRule>
  </x:conditionalFormatting>
  <x:conditionalFormatting sqref="F100:F103">
    <x:cfRule type="expression" dxfId="536" priority="30">
      <x:formula>F100=MIN(F$100:F$103)</x:formula>
    </x:cfRule>
  </x:conditionalFormatting>
  <x:conditionalFormatting sqref="G96:G99">
    <x:cfRule type="expression" dxfId="537" priority="31">
      <x:formula>G96=MAX(G$96:G$99)</x:formula>
    </x:cfRule>
  </x:conditionalFormatting>
  <x:conditionalFormatting sqref="G100:G103">
    <x:cfRule type="expression" dxfId="538" priority="32">
      <x:formula>G100=MAX(G$100:G$103)</x:formula>
    </x:cfRule>
  </x:conditionalFormatting>
  <x:conditionalFormatting sqref="D114:D117">
    <x:cfRule type="expression" dxfId="539" priority="33">
      <x:formula>D114=MIN(D$114:D$117)</x:formula>
    </x:cfRule>
  </x:conditionalFormatting>
  <x:conditionalFormatting sqref="D118:D121">
    <x:cfRule type="expression" dxfId="540" priority="34">
      <x:formula>D118=MIN(D$118:D$121)</x:formula>
    </x:cfRule>
  </x:conditionalFormatting>
  <x:conditionalFormatting sqref="E114:E117">
    <x:cfRule type="expression" dxfId="541" priority="35">
      <x:formula>E114=MIN(E$114:E$117)</x:formula>
    </x:cfRule>
  </x:conditionalFormatting>
  <x:conditionalFormatting sqref="E118:E121">
    <x:cfRule type="expression" dxfId="542" priority="36">
      <x:formula>E118=MIN(E$118:E$121)</x:formula>
    </x:cfRule>
  </x:conditionalFormatting>
  <x:conditionalFormatting sqref="F114:F117">
    <x:cfRule type="expression" dxfId="543" priority="37">
      <x:formula>F114=MIN(F$114:F$117)</x:formula>
    </x:cfRule>
  </x:conditionalFormatting>
  <x:conditionalFormatting sqref="F118:F121">
    <x:cfRule type="expression" dxfId="544" priority="38">
      <x:formula>F118=MIN(F$118:F$121)</x:formula>
    </x:cfRule>
  </x:conditionalFormatting>
  <x:conditionalFormatting sqref="D132:D135">
    <x:cfRule type="expression" dxfId="545" priority="39">
      <x:formula>D132=MIN(D$132:D$135)</x:formula>
    </x:cfRule>
  </x:conditionalFormatting>
  <x:conditionalFormatting sqref="D136:D139">
    <x:cfRule type="expression" dxfId="546" priority="40">
      <x:formula>D136=MIN(D$136:D$139)</x:formula>
    </x:cfRule>
  </x:conditionalFormatting>
  <x:conditionalFormatting sqref="E132:E135">
    <x:cfRule type="expression" dxfId="547" priority="41">
      <x:formula>E132=MIN(E$132:E$135)</x:formula>
    </x:cfRule>
  </x:conditionalFormatting>
  <x:conditionalFormatting sqref="E136:E139">
    <x:cfRule type="expression" dxfId="548" priority="42">
      <x:formula>E136=MIN(E$136:E$139)</x:formula>
    </x:cfRule>
  </x:conditionalFormatting>
  <x:conditionalFormatting sqref="F132:F135">
    <x:cfRule type="expression" dxfId="549" priority="43">
      <x:formula>F132=MIN(F$132:F$135)</x:formula>
    </x:cfRule>
  </x:conditionalFormatting>
  <x:conditionalFormatting sqref="F136:F139">
    <x:cfRule type="expression" dxfId="550" priority="44">
      <x:formula>F136=MIN(F$136:F$139)</x:formula>
    </x:cfRule>
  </x:conditionalFormatting>
  <x:conditionalFormatting sqref="D196:D199">
    <x:cfRule type="expression" dxfId="551" priority="45">
      <x:formula>D196=MAX(D$196:D$199)</x:formula>
    </x:cfRule>
  </x:conditionalFormatting>
  <x:conditionalFormatting sqref="D200:D203">
    <x:cfRule type="expression" dxfId="552" priority="46">
      <x:formula>D200=MAX(D$200:D$203)</x:formula>
    </x:cfRule>
  </x:conditionalFormatting>
  <x:conditionalFormatting sqref="E196:E199">
    <x:cfRule type="expression" dxfId="553" priority="47">
      <x:formula>E196=MAX(E$196:E$199)</x:formula>
    </x:cfRule>
  </x:conditionalFormatting>
  <x:conditionalFormatting sqref="E200:E203">
    <x:cfRule type="expression" dxfId="554" priority="48">
      <x:formula>E200=MAX(E$200:E$203)</x:formula>
    </x:cfRule>
  </x:conditionalFormatting>
  <x:conditionalFormatting sqref="F196:F199">
    <x:cfRule type="expression" dxfId="555" priority="49">
      <x:formula>F196=MAX(F$196:F$199)</x:formula>
    </x:cfRule>
  </x:conditionalFormatting>
  <x:conditionalFormatting sqref="F200:F203">
    <x:cfRule type="expression" dxfId="556" priority="50">
      <x:formula>F200=MAX(F$200:F$203)</x:formula>
    </x:cfRule>
  </x:conditionalFormatting>
  <x:conditionalFormatting sqref="G196:G199">
    <x:cfRule type="expression" dxfId="557" priority="51">
      <x:formula>G196=MAX(G$196:G$199)</x:formula>
    </x:cfRule>
  </x:conditionalFormatting>
  <x:conditionalFormatting sqref="G200:G203">
    <x:cfRule type="expression" dxfId="558" priority="52">
      <x:formula>G200=MAX(G$200:G$203)</x:formula>
    </x:cfRule>
  </x:conditionalFormatting>
  <x:conditionalFormatting sqref="D214:D217">
    <x:cfRule type="expression" dxfId="559" priority="53">
      <x:formula>D214=MAX(D$214:D$217)</x:formula>
    </x:cfRule>
  </x:conditionalFormatting>
  <x:conditionalFormatting sqref="D218:D221">
    <x:cfRule type="expression" dxfId="560" priority="54">
      <x:formula>D218=MAX(D$218:D$221)</x:formula>
    </x:cfRule>
  </x:conditionalFormatting>
  <x:conditionalFormatting sqref="E214:E217">
    <x:cfRule type="expression" dxfId="561" priority="55">
      <x:formula>E214=MAX(E$214:E$217)</x:formula>
    </x:cfRule>
  </x:conditionalFormatting>
  <x:conditionalFormatting sqref="E218:E221">
    <x:cfRule type="expression" dxfId="562" priority="56">
      <x:formula>E218=MAX(E$218:E$221)</x:formula>
    </x:cfRule>
  </x:conditionalFormatting>
  <x:conditionalFormatting sqref="F214:F217">
    <x:cfRule type="expression" dxfId="563" priority="57">
      <x:formula>F214=MAX(F$214:F$217)</x:formula>
    </x:cfRule>
  </x:conditionalFormatting>
  <x:conditionalFormatting sqref="F218:F221">
    <x:cfRule type="expression" dxfId="564" priority="58">
      <x:formula>F218=MAX(F$218:F$221)</x:formula>
    </x:cfRule>
  </x:conditionalFormatting>
  <x:conditionalFormatting sqref="G214:G217">
    <x:cfRule type="expression" dxfId="565" priority="59">
      <x:formula>G214=MAX(G$214:G$217)</x:formula>
    </x:cfRule>
  </x:conditionalFormatting>
  <x:conditionalFormatting sqref="G218:G221">
    <x:cfRule type="expression" dxfId="566" priority="60">
      <x:formula>G218=MAX(G$218:G$221)</x:formula>
    </x:cfRule>
  </x:conditionalFormatting>
  <x:conditionalFormatting sqref="D232:D235">
    <x:cfRule type="expression" dxfId="567" priority="61">
      <x:formula>D232=MAX(D$232:D$235)</x:formula>
    </x:cfRule>
  </x:conditionalFormatting>
  <x:conditionalFormatting sqref="D236:D239">
    <x:cfRule type="expression" dxfId="568" priority="62">
      <x:formula>D236=MAX(D$236:D$239)</x:formula>
    </x:cfRule>
  </x:conditionalFormatting>
  <x:conditionalFormatting sqref="E232:E235">
    <x:cfRule type="expression" dxfId="569" priority="63">
      <x:formula>E232=MAX(E$232:E$235)</x:formula>
    </x:cfRule>
  </x:conditionalFormatting>
  <x:conditionalFormatting sqref="E236:E239">
    <x:cfRule type="expression" dxfId="570" priority="64">
      <x:formula>E236=MAX(E$236:E$239)</x:formula>
    </x:cfRule>
  </x:conditionalFormatting>
  <x:conditionalFormatting sqref="F232:F235">
    <x:cfRule type="expression" dxfId="571" priority="65">
      <x:formula>F232=MAX(F$232:F$235)</x:formula>
    </x:cfRule>
  </x:conditionalFormatting>
  <x:conditionalFormatting sqref="F236:F239">
    <x:cfRule type="expression" dxfId="572" priority="66">
      <x:formula>F236=MAX(F$236:F$239)</x:formula>
    </x:cfRule>
  </x:conditionalFormatting>
  <x:conditionalFormatting sqref="G232:G235">
    <x:cfRule type="expression" dxfId="573" priority="67">
      <x:formula>G232=MAX(G$232:G$235)</x:formula>
    </x:cfRule>
  </x:conditionalFormatting>
  <x:conditionalFormatting sqref="G236:G239">
    <x:cfRule type="expression" dxfId="574" priority="68">
      <x:formula>G236=MAX(G$236:G$239)</x:formula>
    </x:cfRule>
  </x:conditionalFormatting>
  <x:conditionalFormatting sqref="D268:D271">
    <x:cfRule type="expression" dxfId="575" priority="69">
      <x:formula>D268=MAX(D$268:D$271)</x:formula>
    </x:cfRule>
  </x:conditionalFormatting>
  <x:conditionalFormatting sqref="E268:E271">
    <x:cfRule type="expression" dxfId="576" priority="70">
      <x:formula>E268=MAX(E$268:E$271)</x:formula>
    </x:cfRule>
  </x:conditionalFormatting>
  <x:conditionalFormatting sqref="F268:F271">
    <x:cfRule type="expression" dxfId="577" priority="71">
      <x:formula>F268=MAX(F$268:F$271)</x:formula>
    </x:cfRule>
  </x:conditionalFormatting>
  <x:conditionalFormatting sqref="G268:G271">
    <x:cfRule type="expression" dxfId="578" priority="72">
      <x:formula>G268=MAX(G$268:G$271)</x:formula>
    </x:cfRule>
  </x:conditionalFormatting>
  <x:conditionalFormatting sqref="H268:H271">
    <x:cfRule type="expression" dxfId="579" priority="73">
      <x:formula>H268=MAX(H$268:H$271)</x:formula>
    </x:cfRule>
  </x:conditionalFormatting>
  <x:conditionalFormatting sqref="I268:I271">
    <x:cfRule type="expression" dxfId="580" priority="74">
      <x:formula>I268=MAX(I$268:I$271)</x:formula>
    </x:cfRule>
  </x:conditionalFormatting>
  <x:conditionalFormatting sqref="J268:J271">
    <x:cfRule type="expression" dxfId="581" priority="75">
      <x:formula>J268=MAX(J$268:J$271)</x:formula>
    </x:cfRule>
  </x:conditionalFormatting>
  <x:conditionalFormatting sqref="K268:K271">
    <x:cfRule type="expression" dxfId="582" priority="76">
      <x:formula>K268=MAX(K$268:K$271)</x:formula>
    </x:cfRule>
  </x:conditionalFormatting>
  <x:conditionalFormatting sqref="L268:L271">
    <x:cfRule type="expression" dxfId="583" priority="77">
      <x:formula>L268=MAX(L$268:L$271)</x:formula>
    </x:cfRule>
  </x:conditionalFormatting>
  <x:conditionalFormatting sqref="D278:D281">
    <x:cfRule type="expression" dxfId="584" priority="78">
      <x:formula>D278=MAX(D$278:D$281)</x:formula>
    </x:cfRule>
  </x:conditionalFormatting>
  <x:conditionalFormatting sqref="E278:E281">
    <x:cfRule type="expression" dxfId="585" priority="79">
      <x:formula>E278=MAX(E$278:E$281)</x:formula>
    </x:cfRule>
  </x:conditionalFormatting>
  <x:conditionalFormatting sqref="F278:F281">
    <x:cfRule type="expression" dxfId="586" priority="80">
      <x:formula>F278=MAX(F$278:F$281)</x:formula>
    </x:cfRule>
  </x:conditionalFormatting>
  <x:conditionalFormatting sqref="G278:G281">
    <x:cfRule type="expression" dxfId="587" priority="81">
      <x:formula>G278=MAX(G$278:G$281)</x:formula>
    </x:cfRule>
  </x:conditionalFormatting>
  <x:conditionalFormatting sqref="H278:H281">
    <x:cfRule type="expression" dxfId="588" priority="82">
      <x:formula>H278=MAX(H$278:H$281)</x:formula>
    </x:cfRule>
  </x:conditionalFormatting>
  <x:conditionalFormatting sqref="I278:I281">
    <x:cfRule type="expression" dxfId="589" priority="83">
      <x:formula>I278=MAX(I$278:I$281)</x:formula>
    </x:cfRule>
  </x:conditionalFormatting>
  <x:conditionalFormatting sqref="J278:J281">
    <x:cfRule type="expression" dxfId="590" priority="84">
      <x:formula>J278=MAX(J$278:J$281)</x:formula>
    </x:cfRule>
  </x:conditionalFormatting>
  <x:conditionalFormatting sqref="K278:K281">
    <x:cfRule type="expression" dxfId="591" priority="85">
      <x:formula>K278=MAX(K$278:K$281)</x:formula>
    </x:cfRule>
  </x:conditionalFormatting>
  <x:conditionalFormatting sqref="L278:L281">
    <x:cfRule type="expression" dxfId="592" priority="86">
      <x:formula>L278=MAX(L$278:L$281)</x:formula>
    </x:cfRule>
  </x:conditionalFormatting>
  <x:conditionalFormatting sqref="D288:D291">
    <x:cfRule type="expression" dxfId="593" priority="87">
      <x:formula>D288=MAX(D$288:D$291)</x:formula>
    </x:cfRule>
  </x:conditionalFormatting>
  <x:conditionalFormatting sqref="E288:E291">
    <x:cfRule type="expression" dxfId="594" priority="88">
      <x:formula>E288=MAX(E$288:E$291)</x:formula>
    </x:cfRule>
  </x:conditionalFormatting>
  <x:conditionalFormatting sqref="F288:F291">
    <x:cfRule type="expression" dxfId="595" priority="89">
      <x:formula>F288=MAX(F$288:F$291)</x:formula>
    </x:cfRule>
  </x:conditionalFormatting>
  <x:conditionalFormatting sqref="G288:G291">
    <x:cfRule type="expression" dxfId="596" priority="90">
      <x:formula>G288=MAX(G$288:G$291)</x:formula>
    </x:cfRule>
  </x:conditionalFormatting>
  <x:conditionalFormatting sqref="H288:H291">
    <x:cfRule type="expression" dxfId="597" priority="91">
      <x:formula>H288=MAX(H$288:H$291)</x:formula>
    </x:cfRule>
  </x:conditionalFormatting>
  <x:conditionalFormatting sqref="I288:I291">
    <x:cfRule type="expression" dxfId="598" priority="92">
      <x:formula>I288=MAX(I$288:I$291)</x:formula>
    </x:cfRule>
  </x:conditionalFormatting>
  <x:conditionalFormatting sqref="J288:J291">
    <x:cfRule type="expression" dxfId="599" priority="93">
      <x:formula>J288=MAX(J$288:J$291)</x:formula>
    </x:cfRule>
  </x:conditionalFormatting>
  <x:conditionalFormatting sqref="K288:K291">
    <x:cfRule type="expression" dxfId="600" priority="94">
      <x:formula>K288=MAX(K$288:K$291)</x:formula>
    </x:cfRule>
  </x:conditionalFormatting>
  <x:conditionalFormatting sqref="L288:L291">
    <x:cfRule type="expression" dxfId="601" priority="95">
      <x:formula>L288=MAX(L$288:L$291)</x:formula>
    </x:cfRule>
  </x:conditionalFormatting>
  <x:conditionalFormatting sqref="D308:D311">
    <x:cfRule type="expression" dxfId="602" priority="96">
      <x:formula>D308=MAX(D$308:D$311)</x:formula>
    </x:cfRule>
  </x:conditionalFormatting>
  <x:conditionalFormatting sqref="E308:E311">
    <x:cfRule type="expression" dxfId="603" priority="97">
      <x:formula>E308=MAX(E$308:E$311)</x:formula>
    </x:cfRule>
  </x:conditionalFormatting>
  <x:conditionalFormatting sqref="F308:F311">
    <x:cfRule type="expression" dxfId="604" priority="98">
      <x:formula>F308=MAX(F$308:F$311)</x:formula>
    </x:cfRule>
  </x:conditionalFormatting>
  <x:conditionalFormatting sqref="G308:G311">
    <x:cfRule type="expression" dxfId="605" priority="99">
      <x:formula>G308=MAX(G$308:G$311)</x:formula>
    </x:cfRule>
  </x:conditionalFormatting>
  <x:conditionalFormatting sqref="H308:H311">
    <x:cfRule type="expression" dxfId="606" priority="100">
      <x:formula>H308=MAX(H$308:H$311)</x:formula>
    </x:cfRule>
  </x:conditionalFormatting>
  <x:conditionalFormatting sqref="I308:I311">
    <x:cfRule type="expression" dxfId="607" priority="101">
      <x:formula>I308=MAX(I$308:I$311)</x:formula>
    </x:cfRule>
  </x:conditionalFormatting>
  <x:conditionalFormatting sqref="D318:D321">
    <x:cfRule type="expression" dxfId="608" priority="102">
      <x:formula>D318=MAX(D$318:D$321)</x:formula>
    </x:cfRule>
  </x:conditionalFormatting>
  <x:conditionalFormatting sqref="E318:E321">
    <x:cfRule type="expression" dxfId="609" priority="103">
      <x:formula>E318=MAX(E$318:E$321)</x:formula>
    </x:cfRule>
  </x:conditionalFormatting>
  <x:conditionalFormatting sqref="F318:F321">
    <x:cfRule type="expression" dxfId="610" priority="104">
      <x:formula>F318=MAX(F$318:F$321)</x:formula>
    </x:cfRule>
  </x:conditionalFormatting>
  <x:conditionalFormatting sqref="G318:G321">
    <x:cfRule type="expression" dxfId="611" priority="105">
      <x:formula>G318=MAX(G$318:G$321)</x:formula>
    </x:cfRule>
  </x:conditionalFormatting>
  <x:conditionalFormatting sqref="H318:H321">
    <x:cfRule type="expression" dxfId="612" priority="106">
      <x:formula>H318=MAX(H$318:H$321)</x:formula>
    </x:cfRule>
  </x:conditionalFormatting>
  <x:conditionalFormatting sqref="I318:I321">
    <x:cfRule type="expression" dxfId="613" priority="107">
      <x:formula>I318=MAX(I$318:I$321)</x:formula>
    </x:cfRule>
  </x:conditionalFormatting>
  <x:conditionalFormatting sqref="D328:D331">
    <x:cfRule type="expression" dxfId="614" priority="108">
      <x:formula>D328=MAX(D$328:D$331)</x:formula>
    </x:cfRule>
  </x:conditionalFormatting>
  <x:conditionalFormatting sqref="E328:E331">
    <x:cfRule type="expression" dxfId="615" priority="109">
      <x:formula>E328=MAX(E$328:E$331)</x:formula>
    </x:cfRule>
  </x:conditionalFormatting>
  <x:conditionalFormatting sqref="F328:F331">
    <x:cfRule type="expression" dxfId="616" priority="110">
      <x:formula>F328=MAX(F$328:F$331)</x:formula>
    </x:cfRule>
  </x:conditionalFormatting>
  <x:conditionalFormatting sqref="G328:G331">
    <x:cfRule type="expression" dxfId="617" priority="111">
      <x:formula>G328=MAX(G$328:G$331)</x:formula>
    </x:cfRule>
  </x:conditionalFormatting>
  <x:conditionalFormatting sqref="H328:H331">
    <x:cfRule type="expression" dxfId="618" priority="112">
      <x:formula>H328=MAX(H$328:H$331)</x:formula>
    </x:cfRule>
  </x:conditionalFormatting>
  <x:conditionalFormatting sqref="I328:I331">
    <x:cfRule type="expression" dxfId="619" priority="113">
      <x:formula>I328=MAX(I$328:I$331)</x:formula>
    </x:cfRule>
  </x:conditionalFormatting>
  <x:conditionalFormatting sqref="D14:D17">
    <x:cfRule type="expression" dxfId="620" priority="114">
      <x:formula>D14=MAX(D$14:D$17)</x:formula>
    </x:cfRule>
  </x:conditionalFormatting>
  <x:conditionalFormatting sqref="E14:E17">
    <x:cfRule type="expression" dxfId="621" priority="115">
      <x:formula>E14=MAX(E$14:E$17)</x:formula>
    </x:cfRule>
  </x:conditionalFormatting>
  <x:conditionalFormatting sqref="F14:F17">
    <x:cfRule type="expression" dxfId="622" priority="116">
      <x:formula>F14=MAX(F$14:F$17)</x:formula>
    </x:cfRule>
  </x:conditionalFormatting>
  <x:conditionalFormatting sqref="G14:G17">
    <x:cfRule type="expression" dxfId="623" priority="117">
      <x:formula>G14=MAX(G$14:G$17)</x:formula>
    </x:cfRule>
  </x:conditionalFormatting>
  <x:conditionalFormatting sqref="D32:D35">
    <x:cfRule type="expression" dxfId="624" priority="118">
      <x:formula>D32=MAX(D$32:D$35)</x:formula>
    </x:cfRule>
  </x:conditionalFormatting>
  <x:conditionalFormatting sqref="E32:E35">
    <x:cfRule type="expression" dxfId="625" priority="119">
      <x:formula>E32=MAX(E$32:E$35)</x:formula>
    </x:cfRule>
  </x:conditionalFormatting>
  <x:conditionalFormatting sqref="F32:F35">
    <x:cfRule type="expression" dxfId="626" priority="120">
      <x:formula>F32=MAX(F$32:F$35)</x:formula>
    </x:cfRule>
  </x:conditionalFormatting>
  <x:conditionalFormatting sqref="G32:G35">
    <x:cfRule type="expression" dxfId="627" priority="121">
      <x:formula>G32=MAX(G$32:G$35)</x:formula>
    </x:cfRule>
  </x:conditionalFormatting>
  <x:conditionalFormatting sqref="D86:D89">
    <x:cfRule type="expression" dxfId="628" priority="122">
      <x:formula>D86=MIN(D$86:D$89)</x:formula>
    </x:cfRule>
  </x:conditionalFormatting>
  <x:conditionalFormatting sqref="E86:E89">
    <x:cfRule type="expression" dxfId="629" priority="123">
      <x:formula>E86=MIN(E$86:E$89)</x:formula>
    </x:cfRule>
  </x:conditionalFormatting>
  <x:conditionalFormatting sqref="F86:F89">
    <x:cfRule type="expression" dxfId="630" priority="124">
      <x:formula>F86=MIN(F$86:F$89)</x:formula>
    </x:cfRule>
  </x:conditionalFormatting>
  <x:conditionalFormatting sqref="G86:G89">
    <x:cfRule type="expression" dxfId="631" priority="125">
      <x:formula>G86=MAX(G$86:G$89)</x:formula>
    </x:cfRule>
  </x:conditionalFormatting>
  <x:conditionalFormatting sqref="D104:D107">
    <x:cfRule type="expression" dxfId="632" priority="126">
      <x:formula>D104=MIN(D$104:D$107)</x:formula>
    </x:cfRule>
  </x:conditionalFormatting>
  <x:conditionalFormatting sqref="E104:E107">
    <x:cfRule type="expression" dxfId="633" priority="127">
      <x:formula>E104=MIN(E$104:E$107)</x:formula>
    </x:cfRule>
  </x:conditionalFormatting>
  <x:conditionalFormatting sqref="F104:F107">
    <x:cfRule type="expression" dxfId="634" priority="128">
      <x:formula>F104=MIN(F$104:F$107)</x:formula>
    </x:cfRule>
  </x:conditionalFormatting>
  <x:conditionalFormatting sqref="G104:G107">
    <x:cfRule type="expression" dxfId="635" priority="129">
      <x:formula>G104=MAX(G$104:G$107)</x:formula>
    </x:cfRule>
  </x:conditionalFormatting>
  <x:conditionalFormatting sqref="D122:D125">
    <x:cfRule type="expression" dxfId="636" priority="130">
      <x:formula>D122=MIN(D$122:D$125)</x:formula>
    </x:cfRule>
  </x:conditionalFormatting>
  <x:conditionalFormatting sqref="E122:E125">
    <x:cfRule type="expression" dxfId="637" priority="131">
      <x:formula>E122=MIN(E$122:E$125)</x:formula>
    </x:cfRule>
  </x:conditionalFormatting>
  <x:conditionalFormatting sqref="F122:F125">
    <x:cfRule type="expression" dxfId="638" priority="132">
      <x:formula>F122=MIN(F$122:F$125)</x:formula>
    </x:cfRule>
  </x:conditionalFormatting>
  <x:conditionalFormatting sqref="D140:D143">
    <x:cfRule type="expression" dxfId="639" priority="133">
      <x:formula>D140=MIN(D$140:D$143)</x:formula>
    </x:cfRule>
  </x:conditionalFormatting>
  <x:conditionalFormatting sqref="E140:E143">
    <x:cfRule type="expression" dxfId="640" priority="134">
      <x:formula>E140=MIN(E$140:E$143)</x:formula>
    </x:cfRule>
  </x:conditionalFormatting>
  <x:conditionalFormatting sqref="F140:F143">
    <x:cfRule type="expression" dxfId="641" priority="135">
      <x:formula>F140=MIN(F$140:F$143)</x:formula>
    </x:cfRule>
  </x:conditionalFormatting>
  <x:conditionalFormatting sqref="D204:D207">
    <x:cfRule type="expression" dxfId="642" priority="136">
      <x:formula>D204=MAX(D$204:D$207)</x:formula>
    </x:cfRule>
  </x:conditionalFormatting>
  <x:conditionalFormatting sqref="E204:E207">
    <x:cfRule type="expression" dxfId="643" priority="137">
      <x:formula>E204=MAX(E$204:E$207)</x:formula>
    </x:cfRule>
  </x:conditionalFormatting>
  <x:conditionalFormatting sqref="F204:F207">
    <x:cfRule type="expression" dxfId="644" priority="138">
      <x:formula>F204=MAX(F$204:F$207)</x:formula>
    </x:cfRule>
  </x:conditionalFormatting>
  <x:conditionalFormatting sqref="G204:G207">
    <x:cfRule type="expression" dxfId="645" priority="139">
      <x:formula>G204=MAX(G$204:G$207)</x:formula>
    </x:cfRule>
  </x:conditionalFormatting>
  <x:conditionalFormatting sqref="D222:D225">
    <x:cfRule type="expression" dxfId="646" priority="140">
      <x:formula>D222=MAX(D$222:D$225)</x:formula>
    </x:cfRule>
  </x:conditionalFormatting>
  <x:conditionalFormatting sqref="E222:E225">
    <x:cfRule type="expression" dxfId="647" priority="141">
      <x:formula>E222=MAX(E$222:E$225)</x:formula>
    </x:cfRule>
  </x:conditionalFormatting>
  <x:conditionalFormatting sqref="F222:F225">
    <x:cfRule type="expression" dxfId="648" priority="142">
      <x:formula>F222=MAX(F$222:F$225)</x:formula>
    </x:cfRule>
  </x:conditionalFormatting>
  <x:conditionalFormatting sqref="G222:G225">
    <x:cfRule type="expression" dxfId="649" priority="143">
      <x:formula>G222=MAX(G$222:G$225)</x:formula>
    </x:cfRule>
  </x:conditionalFormatting>
  <x:conditionalFormatting sqref="D240:D243">
    <x:cfRule type="expression" dxfId="650" priority="144">
      <x:formula>D240=MAX(D$240:D$243)</x:formula>
    </x:cfRule>
  </x:conditionalFormatting>
  <x:conditionalFormatting sqref="E240:E243">
    <x:cfRule type="expression" dxfId="651" priority="145">
      <x:formula>E240=MAX(E$240:E$243)</x:formula>
    </x:cfRule>
  </x:conditionalFormatting>
  <x:conditionalFormatting sqref="F240:F243">
    <x:cfRule type="expression" dxfId="652" priority="146">
      <x:formula>F240=MAX(F$240:F$243)</x:formula>
    </x:cfRule>
  </x:conditionalFormatting>
  <x:conditionalFormatting sqref="G240:G243">
    <x:cfRule type="expression" dxfId="653" priority="147">
      <x:formula>G240=MAX(G$240:G$243)</x:formula>
    </x:cfRule>
  </x:conditionalFormatting>
  <x:conditionalFormatting sqref="D348:D351">
    <x:cfRule type="expression" dxfId="654" priority="148">
      <x:formula>D348=MAX(D$348:D$351)</x:formula>
    </x:cfRule>
  </x:conditionalFormatting>
  <x:conditionalFormatting sqref="E348:E351">
    <x:cfRule type="expression" dxfId="655" priority="149">
      <x:formula>E348=MAX(E$348:E$351)</x:formula>
    </x:cfRule>
  </x:conditionalFormatting>
  <x:conditionalFormatting sqref="F348:F351">
    <x:cfRule type="expression" dxfId="656" priority="150">
      <x:formula>F348=MAX(F$348:F$351)</x:formula>
    </x:cfRule>
  </x:conditionalFormatting>
  <x:conditionalFormatting sqref="G348:G351">
    <x:cfRule type="expression" dxfId="657" priority="151">
      <x:formula>G348=MAX(G$348:G$351)</x:formula>
    </x:cfRule>
  </x:conditionalFormatting>
  <x:conditionalFormatting sqref="H348:H351">
    <x:cfRule type="expression" dxfId="658" priority="152">
      <x:formula>H348=MAX(H$348:H$351)</x:formula>
    </x:cfRule>
  </x:conditionalFormatting>
  <x:conditionalFormatting sqref="I348:I351">
    <x:cfRule type="expression" dxfId="659" priority="153">
      <x:formula>I348=MAX(I$348:I$351)</x:formula>
    </x:cfRule>
  </x:conditionalFormatting>
  <x:conditionalFormatting sqref="J348:J351">
    <x:cfRule type="expression" dxfId="660" priority="154">
      <x:formula>J348=MAX(J$348:J$351)</x:formula>
    </x:cfRule>
  </x:conditionalFormatting>
  <x:conditionalFormatting sqref="D358:D361">
    <x:cfRule type="expression" dxfId="661" priority="155">
      <x:formula>D358=MAX(D$358:D$361)</x:formula>
    </x:cfRule>
  </x:conditionalFormatting>
  <x:conditionalFormatting sqref="E358:E361">
    <x:cfRule type="expression" dxfId="662" priority="156">
      <x:formula>E358=MAX(E$358:E$361)</x:formula>
    </x:cfRule>
  </x:conditionalFormatting>
  <x:conditionalFormatting sqref="F358:F361">
    <x:cfRule type="expression" dxfId="663" priority="157">
      <x:formula>F358=MAX(F$358:F$361)</x:formula>
    </x:cfRule>
  </x:conditionalFormatting>
  <x:conditionalFormatting sqref="G358:G361">
    <x:cfRule type="expression" dxfId="664" priority="158">
      <x:formula>G358=MAX(G$358:G$361)</x:formula>
    </x:cfRule>
  </x:conditionalFormatting>
  <x:conditionalFormatting sqref="H358:H361">
    <x:cfRule type="expression" dxfId="665" priority="159">
      <x:formula>H358=MAX(H$358:H$361)</x:formula>
    </x:cfRule>
  </x:conditionalFormatting>
  <x:conditionalFormatting sqref="I358:I361">
    <x:cfRule type="expression" dxfId="666" priority="160">
      <x:formula>I358=MAX(I$358:I$361)</x:formula>
    </x:cfRule>
  </x:conditionalFormatting>
  <x:conditionalFormatting sqref="J358:J361">
    <x:cfRule type="expression" dxfId="667" priority="161">
      <x:formula>J358=MAX(J$358:J$361)</x:formula>
    </x:cfRule>
  </x:conditionalFormatting>
  <x:conditionalFormatting sqref="D368:D371">
    <x:cfRule type="expression" dxfId="668" priority="162">
      <x:formula>D368=MAX(D$368:D$371)</x:formula>
    </x:cfRule>
  </x:conditionalFormatting>
  <x:conditionalFormatting sqref="E368:E371">
    <x:cfRule type="expression" dxfId="669" priority="163">
      <x:formula>E368=MAX(E$368:E$371)</x:formula>
    </x:cfRule>
  </x:conditionalFormatting>
  <x:conditionalFormatting sqref="F368:F371">
    <x:cfRule type="expression" dxfId="670" priority="164">
      <x:formula>F368=MAX(F$368:F$371)</x:formula>
    </x:cfRule>
  </x:conditionalFormatting>
  <x:conditionalFormatting sqref="G368:G371">
    <x:cfRule type="expression" dxfId="671" priority="165">
      <x:formula>G368=MAX(G$368:G$371)</x:formula>
    </x:cfRule>
  </x:conditionalFormatting>
  <x:conditionalFormatting sqref="H368:H371">
    <x:cfRule type="expression" dxfId="672" priority="166">
      <x:formula>H368=MAX(H$368:H$371)</x:formula>
    </x:cfRule>
  </x:conditionalFormatting>
  <x:conditionalFormatting sqref="I368:I371">
    <x:cfRule type="expression" dxfId="673" priority="167">
      <x:formula>I368=MAX(I$368:I$371)</x:formula>
    </x:cfRule>
  </x:conditionalFormatting>
  <x:conditionalFormatting sqref="J368:J371">
    <x:cfRule type="expression" dxfId="674" priority="168">
      <x:formula>J368=MAX(J$368:J$371)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.5" hidden="0" customWidth="1"/>
    <x:col min="2" max="2" width="31.25" hidden="0" customWidth="1"/>
    <x:col min="3" max="3" width="18.5" hidden="0" customWidth="1"/>
    <x:col min="4" max="4" width="18.5" hidden="0" customWidth="1"/>
    <x:col min="5" max="5" width="18.5" hidden="0" customWidth="1"/>
    <x:col min="6" max="6" width="18.5" hidden="0" customWidth="1"/>
    <x:col min="7" max="7" width="18.5" hidden="0" customWidth="1"/>
    <x:col min="8" max="8" width="18.5" hidden="0" customWidth="1"/>
    <x:col min="9" max="9" width="18.5" hidden="0" customWidth="1"/>
    <x:col min="10" max="10" width="18.5" hidden="0" customWidth="1"/>
    <x:col min="11" max="11" width="18.5" hidden="0" customWidth="1"/>
  </x:cols>
  <x:sheetData>
    <x:row r="1" ht="24" customHeight="1">
      <x:c r="A1" s="67"/>
      <x:c r="B1" s="67"/>
      <x:c r="C1" s="67"/>
      <x:c r="D1" s="67"/>
      <x:c r="E1" s="67"/>
      <x:c r="F1" s="67"/>
      <x:c r="G1" s="67"/>
      <x:c r="H1" s="67"/>
      <x:c r="I1" s="67"/>
      <x:c r="J1" s="67"/>
      <x:c r="K1"/>
      <x:c r="L1"/>
    </x:row>
    <x:row r="2" ht="29" customHeight="1">
      <x:c r="A2" s="67"/>
      <x:c r="B2" s="72" t="str">
        <x:v>TABLE 1.</x:v>
      </x:c>
      <x:c r="C2" s="77" t="str">
        <x:v>Sentiment classification performance.</x:v>
      </x:c>
      <x:c r="D2"/>
      <x:c r="E2"/>
      <x:c r="F2"/>
      <x:c r="G2" s="67"/>
      <x:c r="H2" s="67"/>
      <x:c r="I2" s="67"/>
      <x:c r="J2" s="67"/>
      <x:c r="K2"/>
      <x:c r="L2"/>
    </x:row>
    <x:row r="3" ht="21" customHeight="1">
      <x:c r="A3" s="67"/>
      <x:c r="B3" s="82" t="str">
        <x:v>Bengali: sentiment_bn, n = 12,760</x:v>
      </x:c>
      <x:c r="C3"/>
      <x:c r="D3"/>
      <x:c r="E3"/>
      <x:c r="F3"/>
      <x:c r="G3" s="67"/>
      <x:c r="H3" s="67"/>
      <x:c r="I3" s="67"/>
      <x:c r="J3" s="67"/>
      <x:c r="K3"/>
      <x:c r="L3"/>
    </x:row>
    <x:row r="4" ht="9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/>
      <x:c r="L4"/>
    </x:row>
    <x:row r="5" ht="42" customHeight="1">
      <x:c r="A5" s="67"/>
      <x:c r="B5" s="88" t="str">
        <x:v>Model</x:v>
      </x:c>
      <x:c r="C5" s="90" t="str">
        <x:v>Accuracy</x:v>
      </x:c>
      <x:c r="D5" s="90" t="str">
        <x:v>Balanced
Accuracy</x:v>
      </x:c>
      <x:c r="E5" s="90" t="str">
        <x:v>Macro-F1</x:v>
      </x:c>
      <x:c r="F5" s="90" t="str">
        <x:v>Weighted-F1</x:v>
      </x:c>
      <x:c r="G5" s="67"/>
      <x:c r="H5" s="67"/>
      <x:c r="I5" s="67"/>
      <x:c r="J5" s="67"/>
      <x:c r="K5"/>
      <x:c r="L5"/>
    </x:row>
    <x:row r="6" ht="24" customHeight="1">
      <x:c r="A6" s="67"/>
      <x:c r="B6" s="92" t="str">
        <x:v>nimble:9b</x:v>
      </x:c>
      <x:c r="C6" s="97" t="n">
        <x:v>0.20838557993730408</x:v>
      </x:c>
      <x:c r="D6" s="97" t="n">
        <x:v>0.21688468384875723</x:v>
      </x:c>
      <x:c r="E6" s="97" t="n">
        <x:v>0.20513156413391073</x:v>
      </x:c>
      <x:c r="F6" s="97" t="n">
        <x:v>0.2075925771053881</x:v>
      </x:c>
      <x:c r="G6" s="67"/>
      <x:c r="H6" s="67"/>
      <x:c r="I6" s="67"/>
      <x:c r="J6" s="67"/>
      <x:c r="K6"/>
      <x:c r="L6"/>
    </x:row>
    <x:row r="7" ht="24" customHeight="1">
      <x:c r="A7" s="67"/>
      <x:c r="B7" s="92" t="str">
        <x:v>tev1:0.8b</x:v>
      </x:c>
      <x:c r="C7" s="97" t="n">
        <x:v>0.21230407523510972</x:v>
      </x:c>
      <x:c r="D7" s="102" t="n">
        <x:v>0.23708326509795852</x:v>
      </x:c>
      <x:c r="E7" s="102" t="n">
        <x:v>0.2146098152350054</x:v>
      </x:c>
      <x:c r="F7" s="97" t="n">
        <x:v>0.20616951955872526</x:v>
      </x:c>
      <x:c r="G7" s="67"/>
      <x:c r="H7" s="67"/>
      <x:c r="I7" s="67"/>
      <x:c r="J7" s="67"/>
      <x:c r="K7"/>
      <x:c r="L7"/>
    </x:row>
    <x:row r="8" ht="24" customHeight="1">
      <x:c r="A8" s="67"/>
      <x:c r="B8" s="92" t="str">
        <x:v>tev1:4b</x:v>
      </x:c>
      <x:c r="C8" s="102" t="n">
        <x:v>0.21904388714733541</x:v>
      </x:c>
      <x:c r="D8" s="97" t="n">
        <x:v>0.21760439658094707</x:v>
      </x:c>
      <x:c r="E8" s="97" t="n">
        <x:v>0.20810310290328804</x:v>
      </x:c>
      <x:c r="F8" s="102" t="n">
        <x:v>0.21496843246002806</x:v>
      </x:c>
      <x:c r="G8" s="67"/>
      <x:c r="H8" s="67"/>
      <x:c r="I8" s="67"/>
      <x:c r="J8" s="67"/>
      <x:c r="K8"/>
      <x:c r="L8"/>
    </x:row>
    <x:row r="9" ht="24" customHeight="1">
      <x:c r="A9" s="67"/>
      <x:c r="B9" s="107" t="str">
        <x:v>typesafe/jev-1.13</x:v>
      </x:c>
      <x:c r="C9" s="111" t="n">
        <x:v>0.20517241379310344</x:v>
      </x:c>
      <x:c r="D9" s="111" t="n">
        <x:v>0.23546787178956896</x:v>
      </x:c>
      <x:c r="E9" s="111" t="n">
        <x:v>0.20257795922688615</x:v>
      </x:c>
      <x:c r="F9" s="111" t="n">
        <x:v>0.1952110181468601</x:v>
      </x:c>
      <x:c r="G9" s="67"/>
      <x:c r="H9" s="67"/>
      <x:c r="I9" s="67"/>
      <x:c r="J9" s="67"/>
      <x:c r="K9"/>
      <x:c r="L9"/>
    </x:row>
    <x:row r="10" ht="24" customHeight="1">
      <x:c r="A10" s="67"/>
      <x:c r="B10" s="67"/>
      <x:c r="C10" s="67"/>
      <x:c r="D10" s="67"/>
      <x:c r="E10" s="67"/>
      <x:c r="F10" s="67"/>
      <x:c r="G10" s="67"/>
      <x:c r="H10" s="67"/>
      <x:c r="I10" s="67"/>
      <x:c r="J10" s="67"/>
      <x:c r="K10"/>
      <x:c r="L10"/>
    </x:row>
    <x:row r="11" ht="24" customHeight="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/>
      <x:c r="L11"/>
    </x:row>
    <x:row r="12" ht="29" customHeight="1">
      <x:c r="A12" s="67"/>
      <x:c r="B12" s="72" t="str">
        <x:v>TABLE 2.</x:v>
      </x:c>
      <x:c r="C12" s="77" t="str">
        <x:v>Emotion classification performance.</x:v>
      </x:c>
      <x:c r="D12"/>
      <x:c r="E12"/>
      <x:c r="F12"/>
      <x:c r="G12" s="67"/>
      <x:c r="H12" s="67"/>
      <x:c r="I12" s="67"/>
      <x:c r="J12" s="67"/>
      <x:c r="K12"/>
      <x:c r="L12"/>
    </x:row>
    <x:row r="13" ht="21" customHeight="1">
      <x:c r="A13" s="67"/>
      <x:c r="B13" s="82" t="str">
        <x:v>Bengali: emotion_bn, n = 4,403</x:v>
      </x:c>
      <x:c r="C13"/>
      <x:c r="D13"/>
      <x:c r="E13"/>
      <x:c r="F13"/>
      <x:c r="G13" s="67"/>
      <x:c r="H13" s="67"/>
      <x:c r="I13" s="67"/>
      <x:c r="J13" s="67"/>
      <x:c r="K13"/>
      <x:c r="L13"/>
    </x:row>
    <x:row r="14" ht="9" customHeight="1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/>
      <x:c r="L14"/>
    </x:row>
    <x:row r="15" ht="42" customHeight="1">
      <x:c r="A15" s="67"/>
      <x:c r="B15" s="88" t="str">
        <x:v>Model</x:v>
      </x:c>
      <x:c r="C15" s="90" t="str">
        <x:v>Accuracy</x:v>
      </x:c>
      <x:c r="D15" s="90" t="str">
        <x:v>Balanced
Accuracy</x:v>
      </x:c>
      <x:c r="E15" s="90" t="str">
        <x:v>Macro-F1</x:v>
      </x:c>
      <x:c r="F15" s="90" t="str">
        <x:v>Weighted-F1</x:v>
      </x:c>
      <x:c r="G15" s="67"/>
      <x:c r="H15" s="67"/>
      <x:c r="I15" s="67"/>
      <x:c r="J15" s="67"/>
      <x:c r="K15"/>
      <x:c r="L15"/>
    </x:row>
    <x:row r="16" ht="24" customHeight="1">
      <x:c r="A16" s="67"/>
      <x:c r="B16" s="92" t="str">
        <x:v>nimble:9b</x:v>
      </x:c>
      <x:c r="C16" s="97" t="n">
        <x:v>0.6004996593231887</x:v>
      </x:c>
      <x:c r="D16" s="97" t="n">
        <x:v>0.5990613356911859</x:v>
      </x:c>
      <x:c r="E16" s="97" t="n">
        <x:v>0.5788180270620266</x:v>
      </x:c>
      <x:c r="F16" s="97" t="n">
        <x:v>0.5801035060063106</x:v>
      </x:c>
      <x:c r="G16" s="67"/>
      <x:c r="H16" s="67"/>
      <x:c r="I16" s="67"/>
      <x:c r="J16" s="67"/>
      <x:c r="K16"/>
      <x:c r="L16"/>
    </x:row>
    <x:row r="17" ht="24" customHeight="1">
      <x:c r="A17" s="67"/>
      <x:c r="B17" s="92" t="str">
        <x:v>tev1:0.8b</x:v>
      </x:c>
      <x:c r="C17" s="97" t="n">
        <x:v>0.42130365659777425</x:v>
      </x:c>
      <x:c r="D17" s="97" t="n">
        <x:v>0.41690441096340175</x:v>
      </x:c>
      <x:c r="E17" s="97" t="n">
        <x:v>0.4160678435439207</x:v>
      </x:c>
      <x:c r="F17" s="97" t="n">
        <x:v>0.4269801715465497</x:v>
      </x:c>
      <x:c r="G17" s="67"/>
      <x:c r="H17" s="67"/>
      <x:c r="I17" s="67"/>
      <x:c r="J17" s="67"/>
      <x:c r="K17"/>
      <x:c r="L17"/>
    </x:row>
    <x:row r="18" ht="24" customHeight="1">
      <x:c r="A18" s="67"/>
      <x:c r="B18" s="92" t="str">
        <x:v>tev1:4b</x:v>
      </x:c>
      <x:c r="C18" s="97" t="n">
        <x:v>0.5955030660913014</x:v>
      </x:c>
      <x:c r="D18" s="97" t="n">
        <x:v>0.5753825129324456</x:v>
      </x:c>
      <x:c r="E18" s="97" t="n">
        <x:v>0.5800062869637476</x:v>
      </x:c>
      <x:c r="F18" s="97" t="n">
        <x:v>0.5916232860722173</x:v>
      </x:c>
      <x:c r="G18" s="67"/>
      <x:c r="H18" s="67"/>
      <x:c r="I18" s="67"/>
      <x:c r="J18" s="67"/>
      <x:c r="K18"/>
      <x:c r="L18"/>
    </x:row>
    <x:row r="19" ht="24" customHeight="1">
      <x:c r="A19" s="67"/>
      <x:c r="B19" s="107" t="str">
        <x:v>typesafe/jev-1.13</x:v>
      </x:c>
      <x:c r="C19" s="116" t="n">
        <x:v>0.6472859414035884</x:v>
      </x:c>
      <x:c r="D19" s="116" t="n">
        <x:v>0.6547283274025802</x:v>
      </x:c>
      <x:c r="E19" s="116" t="n">
        <x:v>0.6210517444098744</x:v>
      </x:c>
      <x:c r="F19" s="116" t="n">
        <x:v>0.6155801461134107</x:v>
      </x:c>
      <x:c r="G19" s="67"/>
      <x:c r="H19" s="67"/>
      <x:c r="I19" s="67"/>
      <x:c r="J19" s="67"/>
      <x:c r="K19"/>
      <x:c r="L19"/>
    </x:row>
    <x:row r="20" ht="24" customHeight="1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/>
      <x:c r="L20"/>
    </x:row>
    <x:row r="21" ht="24" customHeight="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/>
      <x:c r="L21"/>
    </x:row>
    <x:row r="22" ht="29" customHeight="1">
      <x:c r="A22" s="67"/>
      <x:c r="B22" s="72" t="str">
        <x:v>TABLE 3.</x:v>
      </x:c>
      <x:c r="C22" s="77" t="str">
        <x:v>Sentiment confidence intervals.</x:v>
      </x:c>
      <x:c r="D22"/>
      <x:c r="E22"/>
      <x:c r="F22"/>
      <x:c r="G22" s="67"/>
      <x:c r="H22" s="67"/>
      <x:c r="I22" s="67"/>
      <x:c r="J22" s="67"/>
      <x:c r="K22"/>
      <x:c r="L22"/>
    </x:row>
    <x:row r="23" ht="21" customHeight="1">
      <x:c r="A23" s="67"/>
      <x:c r="B23" s="82" t="str">
        <x:v>Bengali: sentiment_bn, n = 12,760</x:v>
      </x:c>
      <x:c r="C23"/>
      <x:c r="D23"/>
      <x:c r="E23"/>
      <x:c r="F23"/>
      <x:c r="G23" s="67"/>
      <x:c r="H23" s="67"/>
      <x:c r="I23" s="67"/>
      <x:c r="J23" s="67"/>
      <x:c r="K23"/>
      <x:c r="L23"/>
    </x:row>
    <x:row r="24" ht="9" customHeight="1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/>
      <x:c r="L24"/>
    </x:row>
    <x:row r="25" ht="42" customHeight="1">
      <x:c r="A25" s="67"/>
      <x:c r="B25" s="88" t="str">
        <x:v>Model</x:v>
      </x:c>
      <x:c r="C25" s="90" t="str">
        <x:v>Accuracy
Lower</x:v>
      </x:c>
      <x:c r="D25" s="90" t="str">
        <x:v>Accuracy
Upper</x:v>
      </x:c>
      <x:c r="E25" s="90" t="str">
        <x:v>Macro-F1
Lower</x:v>
      </x:c>
      <x:c r="F25" s="90" t="str">
        <x:v>Macro-F1
Upper</x:v>
      </x:c>
      <x:c r="G25" s="67"/>
      <x:c r="H25" s="67"/>
      <x:c r="I25" s="67"/>
      <x:c r="J25" s="67"/>
      <x:c r="K25"/>
      <x:c r="L25"/>
    </x:row>
    <x:row r="26" ht="24" customHeight="1">
      <x:c r="A26" s="67"/>
      <x:c r="B26" s="92" t="str">
        <x:v>nimble:9b</x:v>
      </x:c>
      <x:c r="C26" s="97" t="n">
        <x:v>0.20148902821316614</x:v>
      </x:c>
      <x:c r="D26" s="97" t="n">
        <x:v>0.21512735109717868</x:v>
      </x:c>
      <x:c r="E26" s="97" t="n">
        <x:v>0.19838603507688798</x:v>
      </x:c>
      <x:c r="F26" s="97" t="n">
        <x:v>0.2118201183157782</x:v>
      </x:c>
      <x:c r="G26" s="67"/>
      <x:c r="H26" s="67"/>
      <x:c r="I26" s="67"/>
      <x:c r="J26" s="67"/>
      <x:c r="K26"/>
      <x:c r="L26"/>
    </x:row>
    <x:row r="27" ht="24" customHeight="1">
      <x:c r="A27" s="67"/>
      <x:c r="B27" s="92" t="str">
        <x:v>tev1:0.8b</x:v>
      </x:c>
      <x:c r="C27" s="97" t="n">
        <x:v>0.20564067398119124</x:v>
      </x:c>
      <x:c r="D27" s="97" t="n">
        <x:v>0.21912421630094042</x:v>
      </x:c>
      <x:c r="E27" s="97" t="n">
        <x:v>0.20796775595338776</x:v>
      </x:c>
      <x:c r="F27" s="97" t="n">
        <x:v>0.22132577451841817</x:v>
      </x:c>
      <x:c r="G27" s="67"/>
      <x:c r="H27" s="67"/>
      <x:c r="I27" s="67"/>
      <x:c r="J27" s="67"/>
      <x:c r="K27"/>
      <x:c r="L27"/>
    </x:row>
    <x:row r="28" ht="24" customHeight="1">
      <x:c r="A28" s="67"/>
      <x:c r="B28" s="92" t="str">
        <x:v>tev1:4b</x:v>
      </x:c>
      <x:c r="C28" s="97" t="n">
        <x:v>0.2120689655172414</x:v>
      </x:c>
      <x:c r="D28" s="97" t="n">
        <x:v>0.2261755485893417</x:v>
      </x:c>
      <x:c r="E28" s="97" t="n">
        <x:v>0.20183853419882924</x:v>
      </x:c>
      <x:c r="F28" s="97" t="n">
        <x:v>0.2149873056163275</x:v>
      </x:c>
      <x:c r="G28" s="67"/>
      <x:c r="H28" s="67"/>
      <x:c r="I28" s="67"/>
      <x:c r="J28" s="67"/>
      <x:c r="K28"/>
      <x:c r="L28"/>
    </x:row>
    <x:row r="29" ht="24" customHeight="1">
      <x:c r="A29" s="67"/>
      <x:c r="B29" s="107" t="str">
        <x:v>typesafe/jev-1.13</x:v>
      </x:c>
      <x:c r="C29" s="111" t="n">
        <x:v>0.19850901253918496</x:v>
      </x:c>
      <x:c r="D29" s="111" t="n">
        <x:v>0.21183973354231972</x:v>
      </x:c>
      <x:c r="E29" s="111" t="n">
        <x:v>0.19591799043376254</x:v>
      </x:c>
      <x:c r="F29" s="111" t="n">
        <x:v>0.20923704004545837</x:v>
      </x:c>
      <x:c r="G29" s="67"/>
      <x:c r="H29" s="67"/>
      <x:c r="I29" s="67"/>
      <x:c r="J29" s="67"/>
      <x:c r="K29"/>
      <x:c r="L29"/>
    </x:row>
    <x:row r="30" ht="24" customHeight="1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/>
      <x:c r="L30"/>
    </x:row>
    <x:row r="31" ht="24" customHeight="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/>
      <x:c r="L31"/>
    </x:row>
    <x:row r="32" ht="29" customHeight="1">
      <x:c r="A32" s="67"/>
      <x:c r="B32" s="72" t="str">
        <x:v>TABLE 4.</x:v>
      </x:c>
      <x:c r="C32" s="77" t="str">
        <x:v>Emotion confidence intervals.</x:v>
      </x:c>
      <x:c r="D32"/>
      <x:c r="E32"/>
      <x:c r="F32"/>
      <x:c r="G32" s="67"/>
      <x:c r="H32" s="67"/>
      <x:c r="I32" s="67"/>
      <x:c r="J32" s="67"/>
      <x:c r="K32"/>
      <x:c r="L32"/>
    </x:row>
    <x:row r="33" ht="21" customHeight="1">
      <x:c r="A33" s="67"/>
      <x:c r="B33" s="82" t="str">
        <x:v>Bengali: emotion_bn, n = 4,403</x:v>
      </x:c>
      <x:c r="C33"/>
      <x:c r="D33"/>
      <x:c r="E33"/>
      <x:c r="F33"/>
      <x:c r="G33" s="67"/>
      <x:c r="H33" s="67"/>
      <x:c r="I33" s="67"/>
      <x:c r="J33" s="67"/>
      <x:c r="K33"/>
      <x:c r="L33"/>
    </x:row>
    <x:row r="34" ht="9" customHeight="1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/>
      <x:c r="L34"/>
    </x:row>
    <x:row r="35" ht="42" customHeight="1">
      <x:c r="A35" s="67"/>
      <x:c r="B35" s="88" t="str">
        <x:v>Model</x:v>
      </x:c>
      <x:c r="C35" s="90" t="str">
        <x:v>Accuracy
Lower</x:v>
      </x:c>
      <x:c r="D35" s="90" t="str">
        <x:v>Accuracy
Upper</x:v>
      </x:c>
      <x:c r="E35" s="90" t="str">
        <x:v>Macro-F1
Lower</x:v>
      </x:c>
      <x:c r="F35" s="90" t="str">
        <x:v>Macro-F1
Upper</x:v>
      </x:c>
      <x:c r="G35" s="67"/>
      <x:c r="H35" s="67"/>
      <x:c r="I35" s="67"/>
      <x:c r="J35" s="67"/>
      <x:c r="K35"/>
      <x:c r="L35"/>
    </x:row>
    <x:row r="36" ht="24" customHeight="1">
      <x:c r="A36" s="67"/>
      <x:c r="B36" s="92" t="str">
        <x:v>nimble:9b</x:v>
      </x:c>
      <x:c r="C36" s="97" t="n">
        <x:v>0.5880081762434703</x:v>
      </x:c>
      <x:c r="D36" s="97" t="n">
        <x:v>0.6132239382239383</x:v>
      </x:c>
      <x:c r="E36" s="97" t="n">
        <x:v>0.5646124329878399</x:v>
      </x:c>
      <x:c r="F36" s="97" t="n">
        <x:v>0.5927225953548738</x:v>
      </x:c>
      <x:c r="G36" s="67"/>
      <x:c r="H36" s="67"/>
      <x:c r="I36" s="67"/>
      <x:c r="J36" s="67"/>
      <x:c r="K36"/>
      <x:c r="L36"/>
    </x:row>
    <x:row r="37" ht="24" customHeight="1">
      <x:c r="A37" s="67"/>
      <x:c r="B37" s="92" t="str">
        <x:v>tev1:0.8b</x:v>
      </x:c>
      <x:c r="C37" s="97" t="n">
        <x:v>0.40789802407449466</x:v>
      </x:c>
      <x:c r="D37" s="97" t="n">
        <x:v>0.4353849647967295</x:v>
      </x:c>
      <x:c r="E37" s="97" t="n">
        <x:v>0.401912761867565</x:v>
      </x:c>
      <x:c r="F37" s="97" t="n">
        <x:v>0.430686797589847</x:v>
      </x:c>
      <x:c r="G37" s="67"/>
      <x:c r="H37" s="67"/>
      <x:c r="I37" s="67"/>
      <x:c r="J37" s="67"/>
      <x:c r="K37"/>
      <x:c r="L37"/>
    </x:row>
    <x:row r="38" ht="24" customHeight="1">
      <x:c r="A38" s="67"/>
      <x:c r="B38" s="92" t="str">
        <x:v>tev1:4b</x:v>
      </x:c>
      <x:c r="C38" s="97" t="n">
        <x:v>0.5825516693163751</x:v>
      </x:c>
      <x:c r="D38" s="97" t="n">
        <x:v>0.6089030206677265</x:v>
      </x:c>
      <x:c r="E38" s="97" t="n">
        <x:v>0.565895246306132</x:v>
      </x:c>
      <x:c r="F38" s="97" t="n">
        <x:v>0.5942178098763146</x:v>
      </x:c>
      <x:c r="G38" s="67"/>
      <x:c r="H38" s="67"/>
      <x:c r="I38" s="67"/>
      <x:c r="J38" s="67"/>
      <x:c r="K38"/>
      <x:c r="L38"/>
    </x:row>
    <x:row r="39" ht="24" customHeight="1">
      <x:c r="A39" s="67"/>
      <x:c r="B39" s="107" t="str">
        <x:v>typesafe/jev-1.13</x:v>
      </x:c>
      <x:c r="C39" s="111" t="n">
        <x:v>0.6350215761980468</x:v>
      </x:c>
      <x:c r="D39" s="111" t="n">
        <x:v>0.6584147172382466</x:v>
      </x:c>
      <x:c r="E39" s="111" t="n">
        <x:v>0.6073146639634931</x:v>
      </x:c>
      <x:c r="F39" s="111" t="n">
        <x:v>0.633089576737855</x:v>
      </x:c>
      <x:c r="G39" s="67"/>
      <x:c r="H39" s="67"/>
      <x:c r="I39" s="67"/>
      <x:c r="J39" s="67"/>
      <x:c r="K39"/>
      <x:c r="L39"/>
    </x:row>
    <x:row r="40" ht="24" customHeight="1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/>
      <x:c r="L40"/>
    </x:row>
    <x:row r="41" ht="24" customHeight="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/>
      <x:c r="L41"/>
    </x:row>
    <x:row r="42" ht="29" customHeight="1">
      <x:c r="A42" s="67"/>
      <x:c r="B42" s="72" t="str">
        <x:v>TABLE 5.</x:v>
      </x:c>
      <x:c r="C42" s="77" t="str">
        <x:v>Sentiment probability and calibration.</x:v>
      </x:c>
      <x:c r="D42"/>
      <x:c r="E42"/>
      <x:c r="F42"/>
      <x:c r="G42"/>
      <x:c r="H42" s="67"/>
      <x:c r="I42" s="67"/>
      <x:c r="J42" s="67"/>
      <x:c r="K42"/>
      <x:c r="L42"/>
    </x:row>
    <x:row r="43" ht="21" customHeight="1">
      <x:c r="A43" s="67"/>
      <x:c r="B43" s="82" t="str">
        <x:v>Bengali: sentiment_bn, n = 12,760</x:v>
      </x:c>
      <x:c r="C43"/>
      <x:c r="D43"/>
      <x:c r="E43"/>
      <x:c r="F43"/>
      <x:c r="G43"/>
      <x:c r="H43" s="67"/>
      <x:c r="I43" s="67"/>
      <x:c r="J43" s="67"/>
      <x:c r="K43"/>
      <x:c r="L43"/>
    </x:row>
    <x:row r="44" ht="9" customHeight="1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/>
      <x:c r="L44"/>
    </x:row>
    <x:row r="45" ht="42" customHeight="1">
      <x:c r="A45" s="67"/>
      <x:c r="B45" s="88" t="str">
        <x:v>Model</x:v>
      </x:c>
      <x:c r="C45" s="90" t="str">
        <x:v>Log Loss</x:v>
      </x:c>
      <x:c r="D45" s="90" t="str">
        <x:v>Multiclass
Brier</x:v>
      </x:c>
      <x:c r="E45" s="90" t="str">
        <x:v>ECE</x:v>
      </x:c>
      <x:c r="F45" s="90" t="str">
        <x:v>Probability
Coverage</x:v>
      </x:c>
      <x:c r="G45" s="90" t="str">
        <x:v>Max. Probability
Sum Error</x:v>
      </x:c>
      <x:c r="H45" s="67"/>
      <x:c r="I45" s="67"/>
      <x:c r="J45" s="67"/>
      <x:c r="K45"/>
      <x:c r="L45"/>
    </x:row>
    <x:row r="46" ht="24" customHeight="1">
      <x:c r="A46" s="67"/>
      <x:c r="B46" s="92" t="str">
        <x:v>nimble:9b</x:v>
      </x:c>
      <x:c r="C46" s="97" t="n">
        <x:v>3.1128815444001225</x:v>
      </x:c>
      <x:c r="D46" s="97" t="n">
        <x:v>1.3229203041553244</x:v>
      </x:c>
      <x:c r="E46" s="97" t="n">
        <x:v>0.6260284505806526</x:v>
      </x:c>
      <x:c r="F46" s="102" t="n">
        <x:v>1</x:v>
      </x:c>
      <x:c r="G46" s="120" t="n">
        <x:v>3.3306690738754696e-16</x:v>
      </x:c>
      <x:c r="H46" s="67"/>
      <x:c r="I46" s="67"/>
      <x:c r="J46" s="67"/>
      <x:c r="K46"/>
      <x:c r="L46"/>
    </x:row>
    <x:row r="47" ht="24" customHeight="1">
      <x:c r="A47" s="67"/>
      <x:c r="B47" s="92" t="str">
        <x:v>tev1:0.8b</x:v>
      </x:c>
      <x:c r="C47" s="102" t="n">
        <x:v>1.7564235871168945</x:v>
      </x:c>
      <x:c r="D47" s="102" t="n">
        <x:v>0.9871363184261994</x:v>
      </x:c>
      <x:c r="E47" s="102" t="n">
        <x:v>0.3966904217138918</x:v>
      </x:c>
      <x:c r="F47" s="102" t="n">
        <x:v>1</x:v>
      </x:c>
      <x:c r="G47" s="120" t="n">
        <x:v>2.220446049250313e-16</x:v>
      </x:c>
      <x:c r="H47" s="67"/>
      <x:c r="I47" s="67"/>
      <x:c r="J47" s="67"/>
      <x:c r="K47"/>
      <x:c r="L47"/>
    </x:row>
    <x:row r="48" ht="24" customHeight="1">
      <x:c r="A48" s="67"/>
      <x:c r="B48" s="92" t="str">
        <x:v>tev1:4b</x:v>
      </x:c>
      <x:c r="C48" s="97" t="n">
        <x:v>2.1669260454647183</x:v>
      </x:c>
      <x:c r="D48" s="97" t="n">
        <x:v>1.0861883839417967</x:v>
      </x:c>
      <x:c r="E48" s="97" t="n">
        <x:v>0.4640896987700712</x:v>
      </x:c>
      <x:c r="F48" s="102" t="n">
        <x:v>1</x:v>
      </x:c>
      <x:c r="G48" s="120" t="n">
        <x:v>3.3306690738754696e-16</x:v>
      </x:c>
      <x:c r="H48" s="67"/>
      <x:c r="I48" s="67"/>
      <x:c r="J48" s="67"/>
      <x:c r="K48"/>
      <x:c r="L48"/>
    </x:row>
    <x:row r="49" ht="24" customHeight="1">
      <x:c r="A49" s="67"/>
      <x:c r="B49" s="107" t="str">
        <x:v>typesafe/jev-1.13</x:v>
      </x:c>
      <x:c r="C49" s="111" t="n">
        <x:v>15.200172657905911</x:v>
      </x:c>
      <x:c r="D49" s="111" t="n">
        <x:v>1.3944278773373837</x:v>
      </x:c>
      <x:c r="E49" s="111" t="n">
        <x:v>0.6644174345334221</x:v>
      </x:c>
      <x:c r="F49" s="116" t="n">
        <x:v>1</x:v>
      </x:c>
      <x:c r="G49" s="124" t="n">
        <x:v>0.010000000000000009</x:v>
      </x:c>
      <x:c r="H49" s="67"/>
      <x:c r="I49" s="67"/>
      <x:c r="J49" s="67"/>
      <x:c r="K49"/>
      <x:c r="L49"/>
    </x:row>
    <x:row r="50" ht="24" customHeight="1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/>
      <x:c r="L50"/>
    </x:row>
    <x:row r="51" ht="24" customHeight="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/>
      <x:c r="L51"/>
    </x:row>
    <x:row r="52" ht="29" customHeight="1">
      <x:c r="A52" s="67"/>
      <x:c r="B52" s="72" t="str">
        <x:v>TABLE 6.</x:v>
      </x:c>
      <x:c r="C52" s="77" t="str">
        <x:v>Emotion probability and calibration.</x:v>
      </x:c>
      <x:c r="D52"/>
      <x:c r="E52"/>
      <x:c r="F52"/>
      <x:c r="G52"/>
      <x:c r="H52" s="67"/>
      <x:c r="I52" s="67"/>
      <x:c r="J52" s="67"/>
      <x:c r="K52"/>
      <x:c r="L52"/>
    </x:row>
    <x:row r="53" ht="21" customHeight="1">
      <x:c r="A53" s="67"/>
      <x:c r="B53" s="82" t="str">
        <x:v>Bengali: emotion_bn, n = 4,403</x:v>
      </x:c>
      <x:c r="C53"/>
      <x:c r="D53"/>
      <x:c r="E53"/>
      <x:c r="F53"/>
      <x:c r="G53"/>
      <x:c r="H53" s="67"/>
      <x:c r="I53" s="67"/>
      <x:c r="J53" s="67"/>
      <x:c r="K53"/>
      <x:c r="L53"/>
    </x:row>
    <x:row r="54" ht="9" customHeight="1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/>
      <x:c r="L54"/>
    </x:row>
    <x:row r="55" ht="42" customHeight="1">
      <x:c r="A55" s="67"/>
      <x:c r="B55" s="88" t="str">
        <x:v>Model</x:v>
      </x:c>
      <x:c r="C55" s="90" t="str">
        <x:v>Log Loss</x:v>
      </x:c>
      <x:c r="D55" s="90" t="str">
        <x:v>Multiclass
Brier</x:v>
      </x:c>
      <x:c r="E55" s="90" t="str">
        <x:v>ECE</x:v>
      </x:c>
      <x:c r="F55" s="90" t="str">
        <x:v>Probability
Coverage</x:v>
      </x:c>
      <x:c r="G55" s="90" t="str">
        <x:v>Max. Probability
Sum Error</x:v>
      </x:c>
      <x:c r="H55" s="67"/>
      <x:c r="I55" s="67"/>
      <x:c r="J55" s="67"/>
      <x:c r="K55"/>
      <x:c r="L55"/>
    </x:row>
    <x:row r="56" ht="24" customHeight="1">
      <x:c r="A56" s="67"/>
      <x:c r="B56" s="92" t="str">
        <x:v>nimble:9b</x:v>
      </x:c>
      <x:c r="C56" s="97" t="n">
        <x:v>1.173290375458422</x:v>
      </x:c>
      <x:c r="D56" s="97" t="n">
        <x:v>0.5628419837405725</x:v>
      </x:c>
      <x:c r="E56" s="97" t="n">
        <x:v>0.16338678213083507</x:v>
      </x:c>
      <x:c r="F56" s="102" t="n">
        <x:v>1</x:v>
      </x:c>
      <x:c r="G56" s="120" t="n">
        <x:v>4.440892098500626e-16</x:v>
      </x:c>
      <x:c r="H56" s="67"/>
      <x:c r="I56" s="67"/>
      <x:c r="J56" s="67"/>
      <x:c r="K56"/>
      <x:c r="L56"/>
    </x:row>
    <x:row r="57" ht="24" customHeight="1">
      <x:c r="A57" s="67"/>
      <x:c r="B57" s="92" t="str">
        <x:v>tev1:0.8b</x:v>
      </x:c>
      <x:c r="C57" s="97" t="n">
        <x:v>1.5842246701980576</x:v>
      </x:c>
      <x:c r="D57" s="97" t="n">
        <x:v>0.7322137791499302</x:v>
      </x:c>
      <x:c r="E57" s="97" t="n">
        <x:v>0.1397870834224988</x:v>
      </x:c>
      <x:c r="F57" s="102" t="n">
        <x:v>1</x:v>
      </x:c>
      <x:c r="G57" s="120" t="n">
        <x:v>4.440892098500626e-16</x:v>
      </x:c>
      <x:c r="H57" s="67"/>
      <x:c r="I57" s="67"/>
      <x:c r="J57" s="67"/>
      <x:c r="K57"/>
      <x:c r="L57"/>
    </x:row>
    <x:row r="58" ht="24" customHeight="1">
      <x:c r="A58" s="67"/>
      <x:c r="B58" s="92" t="str">
        <x:v>tev1:4b</x:v>
      </x:c>
      <x:c r="C58" s="102" t="n">
        <x:v>1.071730233270532</x:v>
      </x:c>
      <x:c r="D58" s="97" t="n">
        <x:v>0.5306817612903335</x:v>
      </x:c>
      <x:c r="E58" s="102" t="n">
        <x:v>0.06458125417902771</x:v>
      </x:c>
      <x:c r="F58" s="102" t="n">
        <x:v>1</x:v>
      </x:c>
      <x:c r="G58" s="120" t="n">
        <x:v>4.440892098500626e-16</x:v>
      </x:c>
      <x:c r="H58" s="67"/>
      <x:c r="I58" s="67"/>
      <x:c r="J58" s="67"/>
      <x:c r="K58"/>
      <x:c r="L58"/>
    </x:row>
    <x:row r="59" ht="24" customHeight="1">
      <x:c r="A59" s="67"/>
      <x:c r="B59" s="107" t="str">
        <x:v>typesafe/jev-1.13</x:v>
      </x:c>
      <x:c r="C59" s="111" t="n">
        <x:v>2.746900914894296</x:v>
      </x:c>
      <x:c r="D59" s="116" t="n">
        <x:v>0.5164786414073402</x:v>
      </x:c>
      <x:c r="E59" s="111" t="n">
        <x:v>0.18187803540744718</x:v>
      </x:c>
      <x:c r="F59" s="116" t="n">
        <x:v>1</x:v>
      </x:c>
      <x:c r="G59" s="124" t="n">
        <x:v>0.010000000000000009</x:v>
      </x:c>
      <x:c r="H59" s="67"/>
      <x:c r="I59" s="67"/>
      <x:c r="J59" s="67"/>
      <x:c r="K59"/>
      <x:c r="L59"/>
    </x:row>
    <x:row r="60" ht="24" customHeight="1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/>
      <x:c r="L60"/>
    </x:row>
    <x:row r="61" ht="24" customHeight="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/>
      <x:c r="L61"/>
    </x:row>
    <x:row r="62" ht="29" customHeight="1">
      <x:c r="A62" s="67"/>
      <x:c r="B62" s="72" t="str">
        <x:v>TABLE 7.</x:v>
      </x:c>
      <x:c r="C62" s="77" t="str">
        <x:v>Sentiment latency (ms).</x:v>
      </x:c>
      <x:c r="D62"/>
      <x:c r="E62"/>
      <x:c r="F62" s="67"/>
      <x:c r="G62" s="67"/>
      <x:c r="H62" s="67"/>
      <x:c r="I62" s="67"/>
      <x:c r="J62" s="67"/>
      <x:c r="K62"/>
      <x:c r="L62"/>
    </x:row>
    <x:row r="63" ht="21" customHeight="1">
      <x:c r="A63" s="67"/>
      <x:c r="B63" s="82" t="str">
        <x:v>Bengali: sentiment_bn, n = 12,760</x:v>
      </x:c>
      <x:c r="C63"/>
      <x:c r="D63"/>
      <x:c r="E63"/>
      <x:c r="F63" s="67"/>
      <x:c r="G63" s="67"/>
      <x:c r="H63" s="67"/>
      <x:c r="I63" s="67"/>
      <x:c r="J63" s="67"/>
      <x:c r="K63"/>
      <x:c r="L63"/>
    </x:row>
    <x:row r="64" ht="9" customHeight="1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/>
      <x:c r="L64"/>
    </x:row>
    <x:row r="65" ht="42" customHeight="1">
      <x:c r="A65" s="67"/>
      <x:c r="B65" s="88" t="str">
        <x:v>Model</x:v>
      </x:c>
      <x:c r="C65" s="90" t="str">
        <x:v>Mean (ms)</x:v>
      </x:c>
      <x:c r="D65" s="90" t="str">
        <x:v>P50 (ms)</x:v>
      </x:c>
      <x:c r="E65" s="90" t="str">
        <x:v>P95 (ms)</x:v>
      </x:c>
      <x:c r="F65" s="67"/>
      <x:c r="G65" s="67"/>
      <x:c r="H65" s="67"/>
      <x:c r="I65" s="67"/>
      <x:c r="J65" s="67"/>
      <x:c r="K65"/>
      <x:c r="L65"/>
    </x:row>
    <x:row r="66" ht="24" customHeight="1">
      <x:c r="A66" s="67"/>
      <x:c r="B66" s="92" t="str">
        <x:v>nimble:9b</x:v>
      </x:c>
      <x:c r="C66" s="97" t="n">
        <x:v>713.6461011755486</x:v>
      </x:c>
      <x:c r="D66" s="97" t="n">
        <x:v>701.4555</x:v>
      </x:c>
      <x:c r="E66" s="97" t="n">
        <x:v>782.1456</x:v>
      </x:c>
      <x:c r="F66" s="67"/>
      <x:c r="G66" s="67"/>
      <x:c r="H66" s="67"/>
      <x:c r="I66" s="67"/>
      <x:c r="J66" s="67"/>
      <x:c r="K66"/>
      <x:c r="L66"/>
    </x:row>
    <x:row r="67" ht="24" customHeight="1">
      <x:c r="A67" s="67"/>
      <x:c r="B67" s="92" t="str">
        <x:v>tev1:0.8b</x:v>
      </x:c>
      <x:c r="C67" s="97" t="n">
        <x:v>555.8784940438871</x:v>
      </x:c>
      <x:c r="D67" s="97" t="n">
        <x:v>539.7715000000001</x:v>
      </x:c>
      <x:c r="E67" s="97" t="n">
        <x:v>630.9798</x:v>
      </x:c>
      <x:c r="F67" s="67"/>
      <x:c r="G67" s="67"/>
      <x:c r="H67" s="67"/>
      <x:c r="I67" s="67"/>
      <x:c r="J67" s="67"/>
      <x:c r="K67"/>
      <x:c r="L67"/>
    </x:row>
    <x:row r="68" ht="24" customHeight="1">
      <x:c r="A68" s="67"/>
      <x:c r="B68" s="92" t="str">
        <x:v>tev1:4b</x:v>
      </x:c>
      <x:c r="C68" s="97" t="n">
        <x:v>689.6909279780563</x:v>
      </x:c>
      <x:c r="D68" s="97" t="n">
        <x:v>657.182</x:v>
      </x:c>
      <x:c r="E68" s="97" t="n">
        <x:v>797.257</x:v>
      </x:c>
      <x:c r="F68" s="67"/>
      <x:c r="G68" s="67"/>
      <x:c r="H68" s="67"/>
      <x:c r="I68" s="67"/>
      <x:c r="J68" s="67"/>
      <x:c r="K68"/>
      <x:c r="L68"/>
    </x:row>
    <x:row r="69" ht="24" customHeight="1">
      <x:c r="A69" s="67"/>
      <x:c r="B69" s="107" t="str">
        <x:v>typesafe/jev-1.13</x:v>
      </x:c>
      <x:c r="C69" s="116" t="n">
        <x:v>294.6057079153605</x:v>
      </x:c>
      <x:c r="D69" s="116" t="n">
        <x:v>276.82950000000005</x:v>
      </x:c>
      <x:c r="E69" s="116" t="n">
        <x:v>386.12374999999975</x:v>
      </x:c>
      <x:c r="F69" s="67"/>
      <x:c r="G69" s="67"/>
      <x:c r="H69" s="67"/>
      <x:c r="I69" s="67"/>
      <x:c r="J69" s="67"/>
      <x:c r="K69"/>
      <x:c r="L69"/>
    </x:row>
    <x:row r="70" ht="24" customHeight="1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/>
      <x:c r="L70"/>
    </x:row>
    <x:row r="71" ht="24" customHeight="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/>
      <x:c r="L71"/>
    </x:row>
    <x:row r="72" ht="29" customHeight="1">
      <x:c r="A72" s="67"/>
      <x:c r="B72" s="72" t="str">
        <x:v>TABLE 8.</x:v>
      </x:c>
      <x:c r="C72" s="77" t="str">
        <x:v>Emotion latency (ms).</x:v>
      </x:c>
      <x:c r="D72"/>
      <x:c r="E72"/>
      <x:c r="F72" s="67"/>
      <x:c r="G72" s="67"/>
      <x:c r="H72" s="67"/>
      <x:c r="I72" s="67"/>
      <x:c r="J72" s="67"/>
      <x:c r="K72"/>
      <x:c r="L72"/>
    </x:row>
    <x:row r="73" ht="21" customHeight="1">
      <x:c r="A73" s="67"/>
      <x:c r="B73" s="82" t="str">
        <x:v>Bengali: emotion_bn, n = 4,403</x:v>
      </x:c>
      <x:c r="C73"/>
      <x:c r="D73"/>
      <x:c r="E73"/>
      <x:c r="F73" s="67"/>
      <x:c r="G73" s="67"/>
      <x:c r="H73" s="67"/>
      <x:c r="I73" s="67"/>
      <x:c r="J73" s="67"/>
      <x:c r="K73"/>
      <x:c r="L73"/>
    </x:row>
    <x:row r="74" ht="9" customHeight="1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/>
      <x:c r="L74"/>
    </x:row>
    <x:row r="75" ht="42" customHeight="1">
      <x:c r="A75" s="67"/>
      <x:c r="B75" s="88" t="str">
        <x:v>Model</x:v>
      </x:c>
      <x:c r="C75" s="90" t="str">
        <x:v>Mean (ms)</x:v>
      </x:c>
      <x:c r="D75" s="90" t="str">
        <x:v>P50 (ms)</x:v>
      </x:c>
      <x:c r="E75" s="90" t="str">
        <x:v>P95 (ms)</x:v>
      </x:c>
      <x:c r="F75" s="67"/>
      <x:c r="G75" s="67"/>
      <x:c r="H75" s="67"/>
      <x:c r="I75" s="67"/>
      <x:c r="J75" s="67"/>
      <x:c r="K75"/>
      <x:c r="L75"/>
    </x:row>
    <x:row r="76" ht="24" customHeight="1">
      <x:c r="A76" s="67"/>
      <x:c r="B76" s="92" t="str">
        <x:v>nimble:9b</x:v>
      </x:c>
      <x:c r="C76" s="97" t="n">
        <x:v>759.285373608903</x:v>
      </x:c>
      <x:c r="D76" s="97" t="n">
        <x:v>738.001</x:v>
      </x:c>
      <x:c r="E76" s="97" t="n">
        <x:v>873.3961</x:v>
      </x:c>
      <x:c r="F76" s="67"/>
      <x:c r="G76" s="67"/>
      <x:c r="H76" s="67"/>
      <x:c r="I76" s="67"/>
      <x:c r="J76" s="67"/>
      <x:c r="K76"/>
      <x:c r="L76"/>
    </x:row>
    <x:row r="77" ht="24" customHeight="1">
      <x:c r="A77" s="67"/>
      <x:c r="B77" s="92" t="str">
        <x:v>tev1:0.8b</x:v>
      </x:c>
      <x:c r="C77" s="97" t="n">
        <x:v>791.9639738814445</x:v>
      </x:c>
      <x:c r="D77" s="97" t="n">
        <x:v>870.522</x:v>
      </x:c>
      <x:c r="E77" s="97" t="n">
        <x:v>880.8537</x:v>
      </x:c>
      <x:c r="F77" s="67"/>
      <x:c r="G77" s="67"/>
      <x:c r="H77" s="67"/>
      <x:c r="I77" s="67"/>
      <x:c r="J77" s="67"/>
      <x:c r="K77"/>
      <x:c r="L77"/>
    </x:row>
    <x:row r="78" ht="24" customHeight="1">
      <x:c r="A78" s="67"/>
      <x:c r="B78" s="92" t="str">
        <x:v>tev1:4b</x:v>
      </x:c>
      <x:c r="C78" s="97" t="n">
        <x:v>848.2449291392234</x:v>
      </x:c>
      <x:c r="D78" s="97" t="n">
        <x:v>831.315</x:v>
      </x:c>
      <x:c r="E78" s="97" t="n">
        <x:v>1001.8046999999997</x:v>
      </x:c>
      <x:c r="F78" s="67"/>
      <x:c r="G78" s="67"/>
      <x:c r="H78" s="67"/>
      <x:c r="I78" s="67"/>
      <x:c r="J78" s="67"/>
      <x:c r="K78"/>
      <x:c r="L78"/>
    </x:row>
    <x:row r="79" ht="24" customHeight="1">
      <x:c r="A79" s="67"/>
      <x:c r="B79" s="107" t="str">
        <x:v>typesafe/jev-1.13</x:v>
      </x:c>
      <x:c r="C79" s="116" t="n">
        <x:v>296.86537065637066</x:v>
      </x:c>
      <x:c r="D79" s="116" t="n">
        <x:v>276.543</x:v>
      </x:c>
      <x:c r="E79" s="116" t="n">
        <x:v>403.3145999999999</x:v>
      </x:c>
      <x:c r="F79" s="67"/>
      <x:c r="G79" s="67"/>
      <x:c r="H79" s="67"/>
      <x:c r="I79" s="67"/>
      <x:c r="J79" s="67"/>
      <x:c r="K79"/>
      <x:c r="L79"/>
    </x:row>
    <x:row r="80" ht="24" customHeight="1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/>
      <x:c r="L80"/>
    </x:row>
    <x:row r="81" ht="24" customHeight="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/>
      <x:c r="L81"/>
    </x:row>
    <x:row r="82" ht="29" customHeight="1">
      <x:c r="A82" s="67"/>
      <x:c r="B82" s="72" t="str">
        <x:v>TABLE 9.</x:v>
      </x:c>
      <x:c r="C82" s="77" t="str">
        <x:v>Sentiment evaluation coverage.</x:v>
      </x:c>
      <x:c r="D82"/>
      <x:c r="E82"/>
      <x:c r="F82"/>
      <x:c r="G82"/>
      <x:c r="H82"/>
      <x:c r="I82" s="67"/>
      <x:c r="J82" s="67"/>
      <x:c r="K82"/>
      <x:c r="L82"/>
    </x:row>
    <x:row r="83" ht="21" customHeight="1">
      <x:c r="A83" s="67"/>
      <x:c r="B83" s="82" t="str">
        <x:v>Bengali: sentiment_bn, n = 12,760</x:v>
      </x:c>
      <x:c r="C83"/>
      <x:c r="D83"/>
      <x:c r="E83"/>
      <x:c r="F83"/>
      <x:c r="G83"/>
      <x:c r="H83"/>
      <x:c r="I83" s="67"/>
      <x:c r="J83" s="67"/>
      <x:c r="K83"/>
      <x:c r="L83"/>
    </x:row>
    <x:row r="84" ht="9" customHeight="1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/>
      <x:c r="L84"/>
    </x:row>
    <x:row r="85" ht="42" customHeight="1">
      <x:c r="A85" s="67"/>
      <x:c r="B85" s="88" t="str">
        <x:v>Model</x:v>
      </x:c>
      <x:c r="C85" s="90" t="str">
        <x:v>Total</x:v>
      </x:c>
      <x:c r="D85" s="90" t="str">
        <x:v>Successful</x:v>
      </x:c>
      <x:c r="E85" s="90" t="str">
        <x:v>Errors</x:v>
      </x:c>
      <x:c r="F85" s="90" t="str">
        <x:v>Error Rate</x:v>
      </x:c>
      <x:c r="G85" s="90" t="str">
        <x:v>Probability
Records</x:v>
      </x:c>
      <x:c r="H85" s="90" t="str">
        <x:v>Choice
Mismatches</x:v>
      </x:c>
      <x:c r="I85" s="67"/>
      <x:c r="J85" s="67"/>
      <x:c r="K85"/>
      <x:c r="L85"/>
    </x:row>
    <x:row r="86" ht="24" customHeight="1">
      <x:c r="A86" s="67"/>
      <x:c r="B86" s="92" t="str">
        <x:v>nimble:9b</x:v>
      </x:c>
      <x:c r="C86" s="128" t="n">
        <x:v>12760</x:v>
      </x:c>
      <x:c r="D86" s="128" t="n">
        <x:v>12760</x:v>
      </x:c>
      <x:c r="E86" s="128" t="n">
        <x:v>0</x:v>
      </x:c>
      <x:c r="F86" s="97" t="n">
        <x:v>0</x:v>
      </x:c>
      <x:c r="G86" s="128" t="n">
        <x:v>12760</x:v>
      </x:c>
      <x:c r="H86" s="128" t="n">
        <x:v>0</x:v>
      </x:c>
      <x:c r="I86" s="67"/>
      <x:c r="J86" s="67"/>
      <x:c r="K86"/>
      <x:c r="L86"/>
    </x:row>
    <x:row r="87" ht="24" customHeight="1">
      <x:c r="A87" s="67"/>
      <x:c r="B87" s="92" t="str">
        <x:v>tev1:0.8b</x:v>
      </x:c>
      <x:c r="C87" s="128" t="n">
        <x:v>12760</x:v>
      </x:c>
      <x:c r="D87" s="128" t="n">
        <x:v>12760</x:v>
      </x:c>
      <x:c r="E87" s="128" t="n">
        <x:v>0</x:v>
      </x:c>
      <x:c r="F87" s="97" t="n">
        <x:v>0</x:v>
      </x:c>
      <x:c r="G87" s="128" t="n">
        <x:v>12760</x:v>
      </x:c>
      <x:c r="H87" s="128" t="n">
        <x:v>0</x:v>
      </x:c>
      <x:c r="I87" s="67"/>
      <x:c r="J87" s="67"/>
      <x:c r="K87"/>
      <x:c r="L87"/>
    </x:row>
    <x:row r="88" ht="24" customHeight="1">
      <x:c r="A88" s="67"/>
      <x:c r="B88" s="92" t="str">
        <x:v>tev1:4b</x:v>
      </x:c>
      <x:c r="C88" s="128" t="n">
        <x:v>12760</x:v>
      </x:c>
      <x:c r="D88" s="128" t="n">
        <x:v>12760</x:v>
      </x:c>
      <x:c r="E88" s="128" t="n">
        <x:v>0</x:v>
      </x:c>
      <x:c r="F88" s="97" t="n">
        <x:v>0</x:v>
      </x:c>
      <x:c r="G88" s="128" t="n">
        <x:v>12760</x:v>
      </x:c>
      <x:c r="H88" s="128" t="n">
        <x:v>0</x:v>
      </x:c>
      <x:c r="I88" s="67"/>
      <x:c r="J88" s="67"/>
      <x:c r="K88"/>
      <x:c r="L88"/>
    </x:row>
    <x:row r="89" ht="24" customHeight="1">
      <x:c r="A89" s="67"/>
      <x:c r="B89" s="107" t="str">
        <x:v>typesafe/jev-1.13</x:v>
      </x:c>
      <x:c r="C89" s="132" t="n">
        <x:v>12760</x:v>
      </x:c>
      <x:c r="D89" s="132" t="n">
        <x:v>12760</x:v>
      </x:c>
      <x:c r="E89" s="132" t="n">
        <x:v>0</x:v>
      </x:c>
      <x:c r="F89" s="111" t="n">
        <x:v>0</x:v>
      </x:c>
      <x:c r="G89" s="132" t="n">
        <x:v>12760</x:v>
      </x:c>
      <x:c r="H89" s="132" t="n">
        <x:v>21</x:v>
      </x:c>
      <x:c r="I89" s="67"/>
      <x:c r="J89" s="67"/>
      <x:c r="K89"/>
      <x:c r="L89"/>
    </x:row>
    <x:row r="90" ht="24" customHeight="1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/>
      <x:c r="L90"/>
    </x:row>
    <x:row r="91" ht="24" customHeight="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/>
      <x:c r="L91"/>
    </x:row>
    <x:row r="92" ht="29" customHeight="1">
      <x:c r="A92" s="67"/>
      <x:c r="B92" s="72" t="str">
        <x:v>TABLE 10.</x:v>
      </x:c>
      <x:c r="C92" s="77" t="str">
        <x:v>Emotion evaluation coverage.</x:v>
      </x:c>
      <x:c r="D92"/>
      <x:c r="E92"/>
      <x:c r="F92"/>
      <x:c r="G92"/>
      <x:c r="H92"/>
      <x:c r="I92" s="67"/>
      <x:c r="J92" s="67"/>
      <x:c r="K92"/>
      <x:c r="L92"/>
    </x:row>
    <x:row r="93" ht="21" customHeight="1">
      <x:c r="A93" s="67"/>
      <x:c r="B93" s="82" t="str">
        <x:v>Bengali: emotion_bn, n = 4,403</x:v>
      </x:c>
      <x:c r="C93"/>
      <x:c r="D93"/>
      <x:c r="E93"/>
      <x:c r="F93"/>
      <x:c r="G93"/>
      <x:c r="H93"/>
      <x:c r="I93" s="67"/>
      <x:c r="J93" s="67"/>
      <x:c r="K93"/>
      <x:c r="L93"/>
    </x:row>
    <x:row r="94" ht="9" customHeight="1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/>
      <x:c r="L94"/>
    </x:row>
    <x:row r="95" ht="42" customHeight="1">
      <x:c r="A95" s="67"/>
      <x:c r="B95" s="88" t="str">
        <x:v>Model</x:v>
      </x:c>
      <x:c r="C95" s="90" t="str">
        <x:v>Total</x:v>
      </x:c>
      <x:c r="D95" s="90" t="str">
        <x:v>Successful</x:v>
      </x:c>
      <x:c r="E95" s="90" t="str">
        <x:v>Errors</x:v>
      </x:c>
      <x:c r="F95" s="90" t="str">
        <x:v>Error Rate</x:v>
      </x:c>
      <x:c r="G95" s="90" t="str">
        <x:v>Probability
Records</x:v>
      </x:c>
      <x:c r="H95" s="90" t="str">
        <x:v>Choice
Mismatches</x:v>
      </x:c>
      <x:c r="I95" s="67"/>
      <x:c r="J95" s="67"/>
      <x:c r="K95"/>
      <x:c r="L95"/>
    </x:row>
    <x:row r="96" ht="24" customHeight="1">
      <x:c r="A96" s="67"/>
      <x:c r="B96" s="92" t="str">
        <x:v>nimble:9b</x:v>
      </x:c>
      <x:c r="C96" s="128" t="n">
        <x:v>4403</x:v>
      </x:c>
      <x:c r="D96" s="128" t="n">
        <x:v>4403</x:v>
      </x:c>
      <x:c r="E96" s="128" t="n">
        <x:v>0</x:v>
      </x:c>
      <x:c r="F96" s="97" t="n">
        <x:v>0</x:v>
      </x:c>
      <x:c r="G96" s="128" t="n">
        <x:v>4403</x:v>
      </x:c>
      <x:c r="H96" s="128" t="n">
        <x:v>0</x:v>
      </x:c>
      <x:c r="I96" s="67"/>
      <x:c r="J96" s="67"/>
      <x:c r="K96"/>
      <x:c r="L96"/>
    </x:row>
    <x:row r="97" ht="24" customHeight="1">
      <x:c r="A97" s="67"/>
      <x:c r="B97" s="92" t="str">
        <x:v>tev1:0.8b</x:v>
      </x:c>
      <x:c r="C97" s="128" t="n">
        <x:v>4403</x:v>
      </x:c>
      <x:c r="D97" s="128" t="n">
        <x:v>4403</x:v>
      </x:c>
      <x:c r="E97" s="128" t="n">
        <x:v>0</x:v>
      </x:c>
      <x:c r="F97" s="97" t="n">
        <x:v>0</x:v>
      </x:c>
      <x:c r="G97" s="128" t="n">
        <x:v>4403</x:v>
      </x:c>
      <x:c r="H97" s="128" t="n">
        <x:v>0</x:v>
      </x:c>
      <x:c r="I97" s="67"/>
      <x:c r="J97" s="67"/>
      <x:c r="K97"/>
      <x:c r="L97"/>
    </x:row>
    <x:row r="98" ht="24" customHeight="1">
      <x:c r="A98" s="67"/>
      <x:c r="B98" s="92" t="str">
        <x:v>tev1:4b</x:v>
      </x:c>
      <x:c r="C98" s="128" t="n">
        <x:v>4403</x:v>
      </x:c>
      <x:c r="D98" s="128" t="n">
        <x:v>4403</x:v>
      </x:c>
      <x:c r="E98" s="128" t="n">
        <x:v>0</x:v>
      </x:c>
      <x:c r="F98" s="97" t="n">
        <x:v>0</x:v>
      </x:c>
      <x:c r="G98" s="128" t="n">
        <x:v>4403</x:v>
      </x:c>
      <x:c r="H98" s="128" t="n">
        <x:v>0</x:v>
      </x:c>
      <x:c r="I98" s="67"/>
      <x:c r="J98" s="67"/>
      <x:c r="K98"/>
      <x:c r="L98"/>
    </x:row>
    <x:row r="99" ht="24" customHeight="1">
      <x:c r="A99" s="67"/>
      <x:c r="B99" s="107" t="str">
        <x:v>typesafe/jev-1.13</x:v>
      </x:c>
      <x:c r="C99" s="132" t="n">
        <x:v>4403</x:v>
      </x:c>
      <x:c r="D99" s="132" t="n">
        <x:v>4403</x:v>
      </x:c>
      <x:c r="E99" s="132" t="n">
        <x:v>0</x:v>
      </x:c>
      <x:c r="F99" s="111" t="n">
        <x:v>0</x:v>
      </x:c>
      <x:c r="G99" s="132" t="n">
        <x:v>4403</x:v>
      </x:c>
      <x:c r="H99" s="132" t="n">
        <x:v>6</x:v>
      </x:c>
      <x:c r="I99" s="67"/>
      <x:c r="J99" s="67"/>
      <x:c r="K99"/>
      <x:c r="L99"/>
    </x:row>
    <x:row r="100" ht="24" customHeight="1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/>
      <x:c r="L100"/>
    </x:row>
    <x:row r="101" ht="24" customHeight="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/>
      <x:c r="L101"/>
    </x:row>
    <x:row r="102" ht="23" customHeight="1">
      <x:c r="A102" s="67"/>
      <x:c r="B102" s="82" t="str">
        <x:v>Bold marks the best exact value within each country and task; ties are included.</x:v>
      </x:c>
      <x:c r="C102"/>
      <x:c r="D102"/>
      <x:c r="E102"/>
      <x:c r="F102"/>
      <x:c r="G102"/>
      <x:c r="H102"/>
      <x:c r="I102" s="67"/>
      <x:c r="J102" s="67"/>
      <x:c r="K102"/>
      <x:c r="L102"/>
    </x:row>
    <x:row r="103" ht="23" customHeight="1">
      <x:c r="A103" s="67"/>
      <x:c r="B103" s="82" t="str">
        <x:v>Higher is better for accuracy, F1 and probability coverage. Lower is better for loss, Brier, ECE and latency.</x:v>
      </x:c>
      <x:c r="C103"/>
      <x:c r="D103"/>
      <x:c r="E103"/>
      <x:c r="F103"/>
      <x:c r="G103"/>
      <x:c r="H103"/>
      <x:c r="I103" s="67"/>
      <x:c r="J103" s="67"/>
      <x:c r="K103"/>
      <x:c r="L103"/>
    </x:row>
    <x:row r="104" ht="23" customHeight="1">
      <x:c r="A104" s="67"/>
      <x:c r="B104" s="82" t="str">
        <x:v>Scores display three decimals; underlying values retain source precision. Confidence interval levels were not specified.</x:v>
      </x:c>
      <x:c r="C104"/>
      <x:c r="D104"/>
      <x:c r="E104"/>
      <x:c r="F104"/>
      <x:c r="G104"/>
      <x:c r="H104"/>
      <x:c r="I104" s="67"/>
      <x:c r="J104" s="67"/>
      <x:c r="K104"/>
      <x:c r="L104"/>
    </x:row>
    <x:row r="105" ht="23" customHeight="1">
      <x:c r="A105" s="67"/>
      <x:c r="B105" s="82" t="str">
        <x:v>Per-class precision, recall, F1, and support are included in the tables below.</x:v>
      </x:c>
      <x:c r="C105"/>
      <x:c r="D105"/>
      <x:c r="E105"/>
      <x:c r="F105"/>
      <x:c r="G105"/>
      <x:c r="H105"/>
      <x:c r="I105" s="67"/>
      <x:c r="J105" s="67"/>
      <x:c r="K105"/>
      <x:c r="L105"/>
    </x:row>
    <x:row r="106" ht="23" customHeight="1">
      <x:c r="A106" s="67"/>
      <x:c r="B106" s="82" t="str">
        <x:v>Source: results/all_models_bengali/summary.csv</x:v>
      </x:c>
      <x:c r="C106"/>
      <x:c r="D106"/>
      <x:c r="E106"/>
      <x:c r="F106"/>
      <x:c r="G106"/>
      <x:c r="H106"/>
      <x:c r="I106" s="67"/>
      <x:c r="J106" s="67"/>
      <x:c r="K106"/>
      <x:c r="L106"/>
    </x:row>
    <x:row r="107" ht="23" customHeight="1">
      <x:c r="A107" s="67"/>
      <x:c r="B107" s="82" t="str">
        <x:v>Source: results/all_models_bengali/per_class_metrics.csv</x:v>
      </x:c>
      <x:c r="C107"/>
      <x:c r="D107"/>
      <x:c r="E107"/>
      <x:c r="F107"/>
      <x:c r="G107"/>
      <x:c r="H107"/>
      <x:c r="I107" s="67"/>
      <x:c r="J107" s="67"/>
      <x:c r="K107"/>
      <x:c r="L107"/>
    </x:row>
    <x:row r="108" ht="24" customHeight="1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/>
      <x:c r="L108"/>
    </x:row>
    <x:row r="109" ht="24" customHeight="1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/>
      <x:c r="L109"/>
    </x:row>
    <x:row r="110" ht="24" customHeight="1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/>
      <x:c r="L110"/>
    </x:row>
    <x:row r="111" ht="24" customHeight="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</x:row>
    <x:row r="112" ht="29" customHeight="1">
      <x:c r="A112" s="67"/>
      <x:c r="B112" s="72" t="str">
        <x:v>TABLE 11.</x:v>
      </x:c>
      <x:c r="C112" s="77" t="str">
        <x:v>Sentiment classification precision.</x:v>
      </x:c>
      <x:c r="D112"/>
      <x:c r="E112"/>
      <x:c r="F112"/>
      <x:c r="G112" s="67"/>
      <x:c r="H112" s="67"/>
      <x:c r="I112" s="67"/>
      <x:c r="J112" s="67"/>
      <x:c r="K112" s="67"/>
      <x:c r="L112" s="67"/>
    </x:row>
    <x:row r="113" ht="21" customHeight="1">
      <x:c r="A113" s="67"/>
      <x:c r="B113" s="82" t="str">
        <x:v>Bengali: sentiment_bn, n = 12,760</x:v>
      </x:c>
      <x:c r="C113"/>
      <x:c r="D113"/>
      <x:c r="E113"/>
      <x:c r="F113"/>
      <x:c r="G113" s="67"/>
      <x:c r="H113" s="67"/>
      <x:c r="I113" s="67"/>
      <x:c r="J113" s="67"/>
      <x:c r="K113" s="67"/>
      <x:c r="L113" s="67"/>
    </x:row>
    <x:row r="114" ht="9" customHeight="1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</x:row>
    <x:row r="115" ht="42" customHeight="1">
      <x:c r="A115" s="67"/>
      <x:c r="B115" s="88" t="str">
        <x:v>Model</x:v>
      </x:c>
      <x:c r="C115" s="90" t="str">
        <x:v>positive</x:v>
      </x:c>
      <x:c r="D115" s="90" t="str">
        <x:v>negative</x:v>
      </x:c>
      <x:c r="E115" s="90" t="str">
        <x:v>neutral</x:v>
      </x:c>
      <x:c r="F115" s="90" t="str">
        <x:v>Macro-
Precision</x:v>
      </x:c>
      <x:c r="G115" s="67"/>
      <x:c r="H115" s="67"/>
      <x:c r="I115" s="67"/>
      <x:c r="J115" s="67"/>
      <x:c r="K115" s="67"/>
      <x:c r="L115" s="67"/>
    </x:row>
    <x:row r="116" ht="24" customHeight="1">
      <x:c r="A116" s="67"/>
      <x:c r="B116" s="92" t="str">
        <x:v>nimble:9b</x:v>
      </x:c>
      <x:c r="C116" s="97" t="n">
        <x:v>0.0881726158763985</x:v>
      </x:c>
      <x:c r="D116" s="97" t="n">
        <x:v>0.17828525641025642</x:v>
      </x:c>
      <x:c r="E116" s="97" t="n">
        <x:v>0.3582461385151968</x:v>
      </x:c>
      <x:c r="F116" s="97" t="n">
        <x:f>AVERAGE(C116:E116)</x:f>
        <x:v>0.20823467026728393</x:v>
      </x:c>
      <x:c r="G116" s="67"/>
      <x:c r="H116" s="67"/>
      <x:c r="I116" s="67"/>
      <x:c r="J116" s="67"/>
      <x:c r="K116" s="67"/>
      <x:c r="L116" s="67"/>
    </x:row>
    <x:row r="117" ht="24" customHeight="1">
      <x:c r="A117" s="67"/>
      <x:c r="B117" s="92" t="str">
        <x:v>tev1:0.8b</x:v>
      </x:c>
      <x:c r="C117" s="102" t="n">
        <x:v>0.13784629133154602</x:v>
      </x:c>
      <x:c r="D117" s="102" t="n">
        <x:v>0.21765461552578455</x:v>
      </x:c>
      <x:c r="E117" s="97" t="n">
        <x:v>0.31957671957671957</x:v>
      </x:c>
      <x:c r="F117" s="102" t="n">
        <x:f>AVERAGE(C117:E117)</x:f>
        <x:v>0.2250258754780167</x:v>
      </x:c>
      <x:c r="G117" s="67"/>
      <x:c r="H117" s="67"/>
      <x:c r="I117" s="67"/>
      <x:c r="J117" s="67"/>
      <x:c r="K117" s="67"/>
      <x:c r="L117" s="67"/>
    </x:row>
    <x:row r="118" ht="24" customHeight="1">
      <x:c r="A118" s="67"/>
      <x:c r="B118" s="92" t="str">
        <x:v>tev1:4b</x:v>
      </x:c>
      <x:c r="C118" s="97" t="n">
        <x:v>0.08727477477477477</x:v>
      </x:c>
      <x:c r="D118" s="97" t="n">
        <x:v>0.17313150425733206</x:v>
      </x:c>
      <x:c r="E118" s="97" t="n">
        <x:v>0.35200803212851406</x:v>
      </x:c>
      <x:c r="F118" s="97" t="n">
        <x:f>AVERAGE(C118:E118)</x:f>
        <x:v>0.20413810372020694</x:v>
      </x:c>
      <x:c r="G118" s="67"/>
      <x:c r="H118" s="67"/>
      <x:c r="I118" s="67"/>
      <x:c r="J118" s="67"/>
      <x:c r="K118" s="67"/>
      <x:c r="L118" s="67"/>
    </x:row>
    <x:row r="119" ht="24" customHeight="1">
      <x:c r="A119" s="67"/>
      <x:c r="B119" s="107" t="str">
        <x:v>typesafe/jev-1.13</x:v>
      </x:c>
      <x:c r="C119" s="111" t="n">
        <x:v>0.06148778479275323</x:v>
      </x:c>
      <x:c r="D119" s="111" t="n">
        <x:v>0.2053763440860215</x:v>
      </x:c>
      <x:c r="E119" s="116" t="n">
        <x:v>0.4054468738013042</x:v>
      </x:c>
      <x:c r="F119" s="111" t="n">
        <x:f>AVERAGE(C119:E119)</x:f>
        <x:v>0.2241036675600263</x:v>
      </x:c>
      <x:c r="G119" s="67"/>
      <x:c r="H119" s="67"/>
      <x:c r="I119" s="67"/>
      <x:c r="J119" s="67"/>
      <x:c r="K119" s="67"/>
      <x:c r="L119" s="67"/>
    </x:row>
    <x:row r="120" ht="24" customHeight="1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</x:row>
    <x:row r="121" ht="24" customHeight="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</x:row>
    <x:row r="122" ht="29" customHeight="1">
      <x:c r="A122" s="67"/>
      <x:c r="B122" s="72" t="str">
        <x:v>TABLE 12.</x:v>
      </x:c>
      <x:c r="C122" s="77" t="str">
        <x:v>Sentiment classification recall.</x:v>
      </x:c>
      <x:c r="D122"/>
      <x:c r="E122"/>
      <x:c r="F122"/>
      <x:c r="G122" s="67"/>
      <x:c r="H122" s="67"/>
      <x:c r="I122" s="67"/>
      <x:c r="J122" s="67"/>
      <x:c r="K122" s="67"/>
      <x:c r="L122" s="67"/>
    </x:row>
    <x:row r="123" ht="21" customHeight="1">
      <x:c r="A123" s="67"/>
      <x:c r="B123" s="82" t="str">
        <x:v>Bengali: sentiment_bn, n = 12,760</x:v>
      </x:c>
      <x:c r="C123"/>
      <x:c r="D123"/>
      <x:c r="E123"/>
      <x:c r="F123"/>
      <x:c r="G123" s="67"/>
      <x:c r="H123" s="67"/>
      <x:c r="I123" s="67"/>
      <x:c r="J123" s="67"/>
      <x:c r="K123" s="67"/>
      <x:c r="L123" s="67"/>
    </x:row>
    <x:row r="124" ht="9" customHeight="1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</x:row>
    <x:row r="125" ht="42" customHeight="1">
      <x:c r="A125" s="67"/>
      <x:c r="B125" s="88" t="str">
        <x:v>Model</x:v>
      </x:c>
      <x:c r="C125" s="90" t="str">
        <x:v>positive</x:v>
      </x:c>
      <x:c r="D125" s="90" t="str">
        <x:v>negative</x:v>
      </x:c>
      <x:c r="E125" s="90" t="str">
        <x:v>neutral</x:v>
      </x:c>
      <x:c r="F125" s="90" t="str">
        <x:v>Macro-
Recall</x:v>
      </x:c>
      <x:c r="G125" s="67"/>
      <x:c r="H125" s="67"/>
      <x:c r="I125" s="67"/>
      <x:c r="J125" s="67"/>
      <x:c r="K125" s="67"/>
      <x:c r="L125" s="67"/>
    </x:row>
    <x:row r="126" ht="24" customHeight="1">
      <x:c r="A126" s="67"/>
      <x:c r="B126" s="92" t="str">
        <x:v>nimble:9b</x:v>
      </x:c>
      <x:c r="C126" s="97" t="n">
        <x:v>0.0717692974848222</x:v>
      </x:c>
      <x:c r="D126" s="97" t="n">
        <x:v>0.3028240898264716</x:v>
      </x:c>
      <x:c r="E126" s="97" t="n">
        <x:v>0.27606066423497794</x:v>
      </x:c>
      <x:c r="F126" s="97" t="n">
        <x:f>AVERAGE(C126:E126)</x:f>
        <x:v>0.21688468384875725</x:v>
      </x:c>
      <x:c r="G126" s="67"/>
      <x:c r="H126" s="67"/>
      <x:c r="I126" s="67"/>
      <x:c r="J126" s="67"/>
      <x:c r="K126" s="67"/>
      <x:c r="L126" s="67"/>
    </x:row>
    <x:row r="127" ht="24" customHeight="1">
      <x:c r="A127" s="67"/>
      <x:c r="B127" s="92" t="str">
        <x:v>tev1:0.8b</x:v>
      </x:c>
      <x:c r="C127" s="102" t="n">
        <x:v>0.13378143972246315</x:v>
      </x:c>
      <x:c r="D127" s="97" t="n">
        <x:v>0.40353861857774753</x:v>
      </x:c>
      <x:c r="E127" s="97" t="n">
        <x:v>0.17392973699366482</x:v>
      </x:c>
      <x:c r="F127" s="102" t="n">
        <x:f>AVERAGE(C127:E127)</x:f>
        <x:v>0.2370832650979585</x:v>
      </x:c>
      <x:c r="G127" s="67"/>
      <x:c r="H127" s="67"/>
      <x:c r="I127" s="67"/>
      <x:c r="J127" s="67"/>
      <x:c r="K127" s="67"/>
      <x:c r="L127" s="67"/>
    </x:row>
    <x:row r="128" ht="24" customHeight="1">
      <x:c r="A128" s="67"/>
      <x:c r="B128" s="92" t="str">
        <x:v>tev1:4b</x:v>
      </x:c>
      <x:c r="C128" s="97" t="n">
        <x:v>0.06721595836947095</x:v>
      </x:c>
      <x:c r="D128" s="97" t="n">
        <x:v>0.24906430758761483</x:v>
      </x:c>
      <x:c r="E128" s="102" t="n">
        <x:v>0.33653292378575544</x:v>
      </x:c>
      <x:c r="F128" s="97" t="n">
        <x:f>AVERAGE(C128:E128)</x:f>
        <x:v>0.2176043965809471</x:v>
      </x:c>
      <x:c r="G128" s="67"/>
      <x:c r="H128" s="67"/>
      <x:c r="I128" s="67"/>
      <x:c r="J128" s="67"/>
      <x:c r="K128" s="67"/>
      <x:c r="L128" s="67"/>
    </x:row>
    <x:row r="129" ht="24" customHeight="1">
      <x:c r="A129" s="67"/>
      <x:c r="B129" s="107" t="str">
        <x:v>typesafe/jev-1.13</x:v>
      </x:c>
      <x:c r="C129" s="111" t="n">
        <x:v>0.04856895056374675</x:v>
      </x:c>
      <x:c r="D129" s="116" t="n">
        <x:v>0.45491663831235113</x:v>
      </x:c>
      <x:c r="E129" s="111" t="n">
        <x:v>0.20291802649260895</x:v>
      </x:c>
      <x:c r="F129" s="111" t="n">
        <x:f>AVERAGE(C129:E129)</x:f>
        <x:v>0.23546787178956893</x:v>
      </x:c>
      <x:c r="G129" s="67"/>
      <x:c r="H129" s="67"/>
      <x:c r="I129" s="67"/>
      <x:c r="J129" s="67"/>
      <x:c r="K129" s="67"/>
      <x:c r="L129" s="67"/>
    </x:row>
    <x:row r="130" ht="24" customHeight="1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</x:row>
    <x:row r="131" ht="24" customHeight="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</x:row>
    <x:row r="132" ht="29" customHeight="1">
      <x:c r="A132" s="67"/>
      <x:c r="B132" s="72" t="str">
        <x:v>TABLE 13.</x:v>
      </x:c>
      <x:c r="C132" s="77" t="str">
        <x:v>Sentiment classification F1.</x:v>
      </x:c>
      <x:c r="D132"/>
      <x:c r="E132"/>
      <x:c r="F132"/>
      <x:c r="G132" s="67"/>
      <x:c r="H132" s="67"/>
      <x:c r="I132" s="67"/>
      <x:c r="J132" s="67"/>
      <x:c r="K132" s="67"/>
      <x:c r="L132" s="67"/>
    </x:row>
    <x:row r="133" ht="21" customHeight="1">
      <x:c r="A133" s="67"/>
      <x:c r="B133" s="82" t="str">
        <x:v>Bengali: sentiment_bn, n = 12,760</x:v>
      </x:c>
      <x:c r="C133"/>
      <x:c r="D133"/>
      <x:c r="E133"/>
      <x:c r="F133"/>
      <x:c r="G133" s="67"/>
      <x:c r="H133" s="67"/>
      <x:c r="I133" s="67"/>
      <x:c r="J133" s="67"/>
      <x:c r="K133" s="67"/>
      <x:c r="L133" s="67"/>
    </x:row>
    <x:row r="134" ht="9" customHeight="1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</x:row>
    <x:row r="135" ht="42" customHeight="1">
      <x:c r="A135" s="67"/>
      <x:c r="B135" s="88" t="str">
        <x:v>Model</x:v>
      </x:c>
      <x:c r="C135" s="90" t="str">
        <x:v>positive</x:v>
      </x:c>
      <x:c r="D135" s="90" t="str">
        <x:v>negative</x:v>
      </x:c>
      <x:c r="E135" s="90" t="str">
        <x:v>neutral</x:v>
      </x:c>
      <x:c r="F135" s="90" t="str">
        <x:v>Macro-F1</x:v>
      </x:c>
      <x:c r="G135" s="67"/>
      <x:c r="H135" s="67"/>
      <x:c r="I135" s="67"/>
      <x:c r="J135" s="67"/>
      <x:c r="K135" s="67"/>
      <x:c r="L135" s="67"/>
    </x:row>
    <x:row r="136" ht="24" customHeight="1">
      <x:c r="A136" s="67"/>
      <x:c r="B136" s="92" t="str">
        <x:v>nimble:9b</x:v>
      </x:c>
      <x:c r="C136" s="97" t="n">
        <x:v>0.07912981114032991</x:v>
      </x:c>
      <x:c r="D136" s="97" t="n">
        <x:v>0.22443575841634095</x:v>
      </x:c>
      <x:c r="E136" s="97" t="n">
        <x:v>0.31182912284506126</x:v>
      </x:c>
      <x:c r="F136" s="97" t="n">
        <x:f>AVERAGE(C136:E136)</x:f>
        <x:v>0.20513156413391073</x:v>
      </x:c>
      <x:c r="G136" s="67"/>
      <x:c r="H136" s="67"/>
      <x:c r="I136" s="67"/>
      <x:c r="J136" s="67"/>
      <x:c r="K136" s="67"/>
      <x:c r="L136" s="67"/>
    </x:row>
    <x:row r="137" ht="24" customHeight="1">
      <x:c r="A137" s="67"/>
      <x:c r="B137" s="92" t="str">
        <x:v>tev1:0.8b</x:v>
      </x:c>
      <x:c r="C137" s="102" t="n">
        <x:v>0.13578345070422534</x:v>
      </x:c>
      <x:c r="D137" s="97" t="n">
        <x:v>0.2827849308536004</x:v>
      </x:c>
      <x:c r="E137" s="97" t="n">
        <x:v>0.22526106414719047</x:v>
      </x:c>
      <x:c r="F137" s="102" t="n">
        <x:f>AVERAGE(C137:E137)</x:f>
        <x:v>0.2146098152350054</x:v>
      </x:c>
      <x:c r="G137" s="67"/>
      <x:c r="H137" s="67"/>
      <x:c r="I137" s="67"/>
      <x:c r="J137" s="67"/>
      <x:c r="K137" s="67"/>
      <x:c r="L137" s="67"/>
    </x:row>
    <x:row r="138" ht="24" customHeight="1">
      <x:c r="A138" s="67"/>
      <x:c r="B138" s="92" t="str">
        <x:v>tev1:4b</x:v>
      </x:c>
      <x:c r="C138" s="97" t="n">
        <x:v>0.07594316511513964</x:v>
      </x:c>
      <x:c r="D138" s="97" t="n">
        <x:v>0.20426956885726244</x:v>
      </x:c>
      <x:c r="E138" s="102" t="n">
        <x:v>0.34409657473746197</x:v>
      </x:c>
      <x:c r="F138" s="97" t="n">
        <x:f>AVERAGE(C138:E138)</x:f>
        <x:v>0.20810310290328804</x:v>
      </x:c>
      <x:c r="G138" s="67"/>
      <x:c r="H138" s="67"/>
      <x:c r="I138" s="67"/>
      <x:c r="J138" s="67"/>
      <x:c r="K138" s="67"/>
      <x:c r="L138" s="67"/>
    </x:row>
    <x:row r="139" ht="24" customHeight="1">
      <x:c r="A139" s="67"/>
      <x:c r="B139" s="107" t="str">
        <x:v>typesafe/jev-1.13</x:v>
      </x:c>
      <x:c r="C139" s="111" t="n">
        <x:v>0.054270139309509385</x:v>
      </x:c>
      <x:c r="D139" s="116" t="n">
        <x:v>0.2829929093025717</x:v>
      </x:c>
      <x:c r="E139" s="111" t="n">
        <x:v>0.2704708290685773</x:v>
      </x:c>
      <x:c r="F139" s="111" t="n">
        <x:f>AVERAGE(C139:E139)</x:f>
        <x:v>0.20257795922688615</x:v>
      </x:c>
      <x:c r="G139" s="67"/>
      <x:c r="H139" s="67"/>
      <x:c r="I139" s="67"/>
      <x:c r="J139" s="67"/>
      <x:c r="K139" s="67"/>
      <x:c r="L139" s="67"/>
    </x:row>
    <x:row r="140" ht="24" customHeight="1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</x:row>
    <x:row r="141" ht="24" customHeight="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</x:row>
    <x:row r="142" ht="29" customHeight="1">
      <x:c r="A142" s="67"/>
      <x:c r="B142" s="72" t="str">
        <x:v>TABLE 14.</x:v>
      </x:c>
      <x:c r="C142" s="77" t="str">
        <x:v>Sentiment classification support.</x:v>
      </x:c>
      <x:c r="D142"/>
      <x:c r="E142"/>
      <x:c r="F142"/>
      <x:c r="G142" s="67"/>
      <x:c r="H142" s="67"/>
      <x:c r="I142" s="67"/>
      <x:c r="J142" s="67"/>
      <x:c r="K142" s="67"/>
      <x:c r="L142" s="67"/>
    </x:row>
    <x:row r="143" ht="21" customHeight="1">
      <x:c r="A143" s="67"/>
      <x:c r="B143" s="82" t="str">
        <x:v>Bengali: sentiment_bn, n = 12,760</x:v>
      </x:c>
      <x:c r="C143"/>
      <x:c r="D143"/>
      <x:c r="E143"/>
      <x:c r="F143"/>
      <x:c r="G143" s="67"/>
      <x:c r="H143" s="67"/>
      <x:c r="I143" s="67"/>
      <x:c r="J143" s="67"/>
      <x:c r="K143" s="67"/>
      <x:c r="L143" s="67"/>
    </x:row>
    <x:row r="144" ht="9" customHeight="1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</x:row>
    <x:row r="145" ht="42" customHeight="1">
      <x:c r="A145" s="67"/>
      <x:c r="B145" s="88" t="str">
        <x:v>Model</x:v>
      </x:c>
      <x:c r="C145" s="90" t="str">
        <x:v>positive</x:v>
      </x:c>
      <x:c r="D145" s="90" t="str">
        <x:v>negative</x:v>
      </x:c>
      <x:c r="E145" s="90" t="str">
        <x:v>neutral</x:v>
      </x:c>
      <x:c r="F145" s="90" t="str">
        <x:v>Total</x:v>
      </x:c>
      <x:c r="G145" s="67"/>
      <x:c r="H145" s="67"/>
      <x:c r="I145" s="67"/>
      <x:c r="J145" s="67"/>
      <x:c r="K145" s="67"/>
      <x:c r="L145" s="67"/>
    </x:row>
    <x:row r="146" ht="24" customHeight="1">
      <x:c r="A146" s="67"/>
      <x:c r="B146" s="92" t="str">
        <x:v>nimble:9b</x:v>
      </x:c>
      <x:c r="C146" s="128" t="n">
        <x:v>4612</x:v>
      </x:c>
      <x:c r="D146" s="128" t="n">
        <x:v>2939</x:v>
      </x:c>
      <x:c r="E146" s="128" t="n">
        <x:v>5209</x:v>
      </x:c>
      <x:c r="F146" s="128" t="n">
        <x:f>SUM(C146:E146)</x:f>
        <x:v>12760</x:v>
      </x:c>
      <x:c r="G146" s="67"/>
      <x:c r="H146" s="67"/>
      <x:c r="I146" s="67"/>
      <x:c r="J146" s="67"/>
      <x:c r="K146" s="67"/>
      <x:c r="L146" s="67"/>
    </x:row>
    <x:row r="147" ht="24" customHeight="1">
      <x:c r="A147" s="67"/>
      <x:c r="B147" s="92" t="str">
        <x:v>tev1:0.8b</x:v>
      </x:c>
      <x:c r="C147" s="128" t="n">
        <x:v>4612</x:v>
      </x:c>
      <x:c r="D147" s="128" t="n">
        <x:v>2939</x:v>
      </x:c>
      <x:c r="E147" s="128" t="n">
        <x:v>5209</x:v>
      </x:c>
      <x:c r="F147" s="128" t="n">
        <x:f>SUM(C147:E147)</x:f>
        <x:v>12760</x:v>
      </x:c>
      <x:c r="G147" s="67"/>
      <x:c r="H147" s="67"/>
      <x:c r="I147" s="67"/>
      <x:c r="J147" s="67"/>
      <x:c r="K147" s="67"/>
      <x:c r="L147" s="67"/>
    </x:row>
    <x:row r="148" ht="24" customHeight="1">
      <x:c r="A148" s="67"/>
      <x:c r="B148" s="92" t="str">
        <x:v>tev1:4b</x:v>
      </x:c>
      <x:c r="C148" s="128" t="n">
        <x:v>4612</x:v>
      </x:c>
      <x:c r="D148" s="128" t="n">
        <x:v>2939</x:v>
      </x:c>
      <x:c r="E148" s="128" t="n">
        <x:v>5209</x:v>
      </x:c>
      <x:c r="F148" s="128" t="n">
        <x:f>SUM(C148:E148)</x:f>
        <x:v>12760</x:v>
      </x:c>
      <x:c r="G148" s="67"/>
      <x:c r="H148" s="67"/>
      <x:c r="I148" s="67"/>
      <x:c r="J148" s="67"/>
      <x:c r="K148" s="67"/>
      <x:c r="L148" s="67"/>
    </x:row>
    <x:row r="149" ht="24" customHeight="1">
      <x:c r="A149" s="67"/>
      <x:c r="B149" s="107" t="str">
        <x:v>typesafe/jev-1.13</x:v>
      </x:c>
      <x:c r="C149" s="132" t="n">
        <x:v>4612</x:v>
      </x:c>
      <x:c r="D149" s="132" t="n">
        <x:v>2939</x:v>
      </x:c>
      <x:c r="E149" s="132" t="n">
        <x:v>5209</x:v>
      </x:c>
      <x:c r="F149" s="132" t="n">
        <x:f>SUM(C149:E149)</x:f>
        <x:v>12760</x:v>
      </x:c>
      <x:c r="G149" s="67"/>
      <x:c r="H149" s="67"/>
      <x:c r="I149" s="67"/>
      <x:c r="J149" s="67"/>
      <x:c r="K149" s="67"/>
      <x:c r="L149" s="67"/>
    </x:row>
    <x:row r="150" ht="24" customHeight="1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</x:row>
    <x:row r="151" ht="24" customHeight="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</x:row>
    <x:row r="152" ht="29" customHeight="1">
      <x:c r="A152" s="67"/>
      <x:c r="B152" s="72" t="str">
        <x:v>TABLE 15.</x:v>
      </x:c>
      <x:c r="C152" s="77" t="str">
        <x:v>Emotion classification precision.</x:v>
      </x:c>
      <x:c r="D152"/>
      <x:c r="E152"/>
      <x:c r="F152"/>
      <x:c r="G152"/>
      <x:c r="H152"/>
      <x:c r="I152"/>
      <x:c r="J152"/>
      <x:c r="K152"/>
      <x:c r="L152" s="67"/>
    </x:row>
    <x:row r="153" ht="21" customHeight="1">
      <x:c r="A153" s="67"/>
      <x:c r="B153" s="82" t="str">
        <x:v>Bengali: emotion_bn, n = 4,403</x:v>
      </x:c>
      <x:c r="C153"/>
      <x:c r="D153"/>
      <x:c r="E153"/>
      <x:c r="F153"/>
      <x:c r="G153"/>
      <x:c r="H153"/>
      <x:c r="I153"/>
      <x:c r="J153"/>
      <x:c r="K153"/>
      <x:c r="L153" s="67"/>
    </x:row>
    <x:row r="154" ht="9" customHeight="1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/>
      <x:c r="K154"/>
      <x:c r="L154" s="67"/>
    </x:row>
    <x:row r="155" ht="42" customHeight="1">
      <x:c r="A155" s="67"/>
      <x:c r="B155" s="88" t="str">
        <x:v>Model</x:v>
      </x:c>
      <x:c r="C155" s="90" t="str">
        <x:v>anger</x:v>
      </x:c>
      <x:c r="D155" s="90" t="str">
        <x:v>disgust</x:v>
      </x:c>
      <x:c r="E155" s="90" t="str">
        <x:v>fear</x:v>
      </x:c>
      <x:c r="F155" s="90" t="str">
        <x:v>joy</x:v>
      </x:c>
      <x:c r="G155" s="90" t="str">
        <x:v>sadness</x:v>
      </x:c>
      <x:c r="H155" s="90" t="str">
        <x:v>surprise</x:v>
      </x:c>
      <x:c r="I155" s="90" t="str">
        <x:v>Macro-
Precision</x:v>
      </x:c>
      <x:c r="J155"/>
      <x:c r="K155"/>
      <x:c r="L155" s="67"/>
    </x:row>
    <x:row r="156" ht="24" customHeight="1">
      <x:c r="A156" s="67"/>
      <x:c r="B156" s="92" t="str">
        <x:v>nimble:9b</x:v>
      </x:c>
      <x:c r="C156" s="97" t="n">
        <x:v>0.42513368983957217</x:v>
      </x:c>
      <x:c r="D156" s="97" t="n">
        <x:v>0.49393939393939396</x:v>
      </x:c>
      <x:c r="E156" s="97" t="n">
        <x:v>0.6672932330827067</x:v>
      </x:c>
      <x:c r="F156" s="97" t="n">
        <x:v>0.7445378151260504</x:v>
      </x:c>
      <x:c r="G156" s="97" t="n">
        <x:v>0.6455026455026455</x:v>
      </x:c>
      <x:c r="H156" s="97" t="n">
        <x:v>0.5813953488372093</x:v>
      </x:c>
      <x:c r="I156" s="97" t="n">
        <x:f>AVERAGE(C156:H156)</x:f>
        <x:v>0.5929670210545964</x:v>
      </x:c>
      <x:c r="J156"/>
      <x:c r="K156"/>
      <x:c r="L156" s="67"/>
    </x:row>
    <x:row r="157" ht="24" customHeight="1">
      <x:c r="A157" s="67"/>
      <x:c r="B157" s="92" t="str">
        <x:v>tev1:0.8b</x:v>
      </x:c>
      <x:c r="C157" s="97" t="n">
        <x:v>0.30824372759856633</x:v>
      </x:c>
      <x:c r="D157" s="97" t="n">
        <x:v>0.297029702970297</x:v>
      </x:c>
      <x:c r="E157" s="97" t="n">
        <x:v>0.6111111111111112</x:v>
      </x:c>
      <x:c r="F157" s="102" t="n">
        <x:v>0.8110367892976589</x:v>
      </x:c>
      <x:c r="G157" s="97" t="n">
        <x:v>0.5749318801089919</x:v>
      </x:c>
      <x:c r="H157" s="97" t="n">
        <x:v>0.38772455089820357</x:v>
      </x:c>
      <x:c r="I157" s="97" t="n">
        <x:f>AVERAGE(C157:H157)</x:f>
        <x:v>0.4983462936641381</x:v>
      </x:c>
      <x:c r="J157"/>
      <x:c r="K157"/>
      <x:c r="L157" s="67"/>
    </x:row>
    <x:row r="158" ht="24" customHeight="1">
      <x:c r="A158" s="67"/>
      <x:c r="B158" s="92" t="str">
        <x:v>tev1:4b</x:v>
      </x:c>
      <x:c r="C158" s="97" t="n">
        <x:v>0.4436741767764298</x:v>
      </x:c>
      <x:c r="D158" s="97" t="n">
        <x:v>0.4548872180451128</x:v>
      </x:c>
      <x:c r="E158" s="97" t="n">
        <x:v>0.65</x:v>
      </x:c>
      <x:c r="F158" s="97" t="n">
        <x:v>0.7445887445887446</x:v>
      </x:c>
      <x:c r="G158" s="97" t="n">
        <x:v>0.6407103825136612</x:v>
      </x:c>
      <x:c r="H158" s="97" t="n">
        <x:v>0.6120481927710844</x:v>
      </x:c>
      <x:c r="I158" s="97" t="n">
        <x:f>AVERAGE(C158:H158)</x:f>
        <x:v>0.5909847857825055</x:v>
      </x:c>
      <x:c r="J158"/>
      <x:c r="K158"/>
      <x:c r="L158" s="67"/>
    </x:row>
    <x:row r="159" ht="24" customHeight="1">
      <x:c r="A159" s="67"/>
      <x:c r="B159" s="107" t="str">
        <x:v>typesafe/jev-1.13</x:v>
      </x:c>
      <x:c r="C159" s="116" t="n">
        <x:v>0.45069204152249137</x:v>
      </x:c>
      <x:c r="D159" s="116" t="n">
        <x:v>0.5767441860465117</x:v>
      </x:c>
      <x:c r="E159" s="116" t="n">
        <x:v>0.6846590909090909</x:v>
      </x:c>
      <x:c r="F159" s="111" t="n">
        <x:v>0.7914485165794066</x:v>
      </x:c>
      <x:c r="G159" s="116" t="n">
        <x:v>0.6878980891719745</x:v>
      </x:c>
      <x:c r="H159" s="116" t="n">
        <x:v>0.6952141057934509</x:v>
      </x:c>
      <x:c r="I159" s="116" t="n">
        <x:f>AVERAGE(C159:H159)</x:f>
        <x:v>0.6477760050038209</x:v>
      </x:c>
      <x:c r="J159"/>
      <x:c r="K159"/>
      <x:c r="L159" s="67"/>
    </x:row>
    <x:row r="160" ht="24" customHeight="1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/>
      <x:c r="K160"/>
      <x:c r="L160" s="67"/>
    </x:row>
    <x:row r="161" ht="24" customHeight="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/>
      <x:c r="K161"/>
      <x:c r="L161" s="67"/>
    </x:row>
    <x:row r="162" ht="29" customHeight="1">
      <x:c r="A162" s="67"/>
      <x:c r="B162" s="72" t="str">
        <x:v>TABLE 16.</x:v>
      </x:c>
      <x:c r="C162" s="77" t="str">
        <x:v>Emotion classification recall.</x:v>
      </x:c>
      <x:c r="D162"/>
      <x:c r="E162"/>
      <x:c r="F162"/>
      <x:c r="G162"/>
      <x:c r="H162"/>
      <x:c r="I162"/>
      <x:c r="J162"/>
      <x:c r="K162"/>
      <x:c r="L162" s="67"/>
    </x:row>
    <x:row r="163" ht="21" customHeight="1">
      <x:c r="A163" s="67"/>
      <x:c r="B163" s="82" t="str">
        <x:v>Bengali: emotion_bn, n = 4,403</x:v>
      </x:c>
      <x:c r="C163"/>
      <x:c r="D163"/>
      <x:c r="E163"/>
      <x:c r="F163"/>
      <x:c r="G163"/>
      <x:c r="H163"/>
      <x:c r="I163"/>
      <x:c r="J163"/>
      <x:c r="K163"/>
      <x:c r="L163" s="67"/>
    </x:row>
    <x:row r="164" ht="9" customHeight="1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/>
      <x:c r="K164"/>
      <x:c r="L164" s="67"/>
    </x:row>
    <x:row r="165" ht="42" customHeight="1">
      <x:c r="A165" s="67"/>
      <x:c r="B165" s="88" t="str">
        <x:v>Model</x:v>
      </x:c>
      <x:c r="C165" s="90" t="str">
        <x:v>anger</x:v>
      </x:c>
      <x:c r="D165" s="90" t="str">
        <x:v>disgust</x:v>
      </x:c>
      <x:c r="E165" s="90" t="str">
        <x:v>fear</x:v>
      </x:c>
      <x:c r="F165" s="90" t="str">
        <x:v>joy</x:v>
      </x:c>
      <x:c r="G165" s="90" t="str">
        <x:v>sadness</x:v>
      </x:c>
      <x:c r="H165" s="90" t="str">
        <x:v>surprise</x:v>
      </x:c>
      <x:c r="I165" s="90" t="str">
        <x:v>Macro-
Recall</x:v>
      </x:c>
      <x:c r="J165"/>
      <x:c r="K165"/>
      <x:c r="L165" s="67"/>
    </x:row>
    <x:row r="166" ht="24" customHeight="1">
      <x:c r="A166" s="67"/>
      <x:c r="B166" s="92" t="str">
        <x:v>nimble:9b</x:v>
      </x:c>
      <x:c r="C166" s="97" t="n">
        <x:v>0.6708860759493671</x:v>
      </x:c>
      <x:c r="D166" s="97" t="n">
        <x:v>0.1856492027334852</x:v>
      </x:c>
      <x:c r="E166" s="97" t="n">
        <x:v>0.6362007168458781</x:v>
      </x:c>
      <x:c r="F166" s="97" t="n">
        <x:v>0.8669275929549902</x:v>
      </x:c>
      <x:c r="G166" s="97" t="n">
        <x:v>0.6208651399491094</x:v>
      </x:c>
      <x:c r="H166" s="97" t="n">
        <x:v>0.6138392857142857</x:v>
      </x:c>
      <x:c r="I166" s="97" t="n">
        <x:f>AVERAGE(C166:H166)</x:f>
        <x:v>0.5990613356911859</x:v>
      </x:c>
      <x:c r="J166"/>
      <x:c r="K166"/>
      <x:c r="L166" s="67"/>
    </x:row>
    <x:row r="167" ht="24" customHeight="1">
      <x:c r="A167" s="67"/>
      <x:c r="B167" s="92" t="str">
        <x:v>tev1:0.8b</x:v>
      </x:c>
      <x:c r="C167" s="97" t="n">
        <x:v>0.3628691983122363</x:v>
      </x:c>
      <x:c r="D167" s="102" t="n">
        <x:v>0.5808656036446469</x:v>
      </x:c>
      <x:c r="E167" s="97" t="n">
        <x:v>0.23655913978494625</x:v>
      </x:c>
      <x:c r="F167" s="97" t="n">
        <x:v>0.474559686888454</x:v>
      </x:c>
      <x:c r="G167" s="97" t="n">
        <x:v>0.2684478371501272</x:v>
      </x:c>
      <x:c r="H167" s="97" t="n">
        <x:v>0.578125</x:v>
      </x:c>
      <x:c r="I167" s="97" t="n">
        <x:f>AVERAGE(C167:H167)</x:f>
        <x:v>0.41690441096340175</x:v>
      </x:c>
      <x:c r="J167"/>
      <x:c r="K167"/>
      <x:c r="L167" s="67"/>
    </x:row>
    <x:row r="168" ht="24" customHeight="1">
      <x:c r="A168" s="67"/>
      <x:c r="B168" s="92" t="str">
        <x:v>tev1:4b</x:v>
      </x:c>
      <x:c r="C168" s="97" t="n">
        <x:v>0.360056258790436</x:v>
      </x:c>
      <x:c r="D168" s="97" t="n">
        <x:v>0.55125284738041</x:v>
      </x:c>
      <x:c r="E168" s="97" t="n">
        <x:v>0.53584229390681</x:v>
      </x:c>
      <x:c r="F168" s="97" t="n">
        <x:v>0.8414872798434442</x:v>
      </x:c>
      <x:c r="G168" s="97" t="n">
        <x:v>0.5966921119592875</x:v>
      </x:c>
      <x:c r="H168" s="97" t="n">
        <x:v>0.5669642857142857</x:v>
      </x:c>
      <x:c r="I168" s="97" t="n">
        <x:f>AVERAGE(C168:H168)</x:f>
        <x:v>0.5753825129324456</x:v>
      </x:c>
      <x:c r="J168"/>
      <x:c r="K168"/>
      <x:c r="L168" s="67"/>
    </x:row>
    <x:row r="169" ht="24" customHeight="1">
      <x:c r="A169" s="67"/>
      <x:c r="B169" s="107" t="str">
        <x:v>typesafe/jev-1.13</x:v>
      </x:c>
      <x:c r="C169" s="116" t="n">
        <x:v>0.7327707454289732</x:v>
      </x:c>
      <x:c r="D169" s="111" t="n">
        <x:v>0.14123006833712984</x:v>
      </x:c>
      <x:c r="E169" s="116" t="n">
        <x:v>0.8637992831541219</x:v>
      </x:c>
      <x:c r="F169" s="116" t="n">
        <x:v>0.8874755381604696</x:v>
      </x:c>
      <x:c r="G169" s="116" t="n">
        <x:v>0.6870229007633588</x:v>
      </x:c>
      <x:c r="H169" s="116" t="n">
        <x:v>0.6160714285714286</x:v>
      </x:c>
      <x:c r="I169" s="116" t="n">
        <x:f>AVERAGE(C169:H169)</x:f>
        <x:v>0.6547283274025802</x:v>
      </x:c>
      <x:c r="J169"/>
      <x:c r="K169"/>
      <x:c r="L169" s="67"/>
    </x:row>
    <x:row r="170" ht="24" customHeight="1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/>
      <x:c r="K170"/>
      <x:c r="L170" s="67"/>
    </x:row>
    <x:row r="171" ht="24" customHeight="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/>
      <x:c r="K171"/>
      <x:c r="L171" s="67"/>
    </x:row>
    <x:row r="172" ht="29" customHeight="1">
      <x:c r="A172" s="67"/>
      <x:c r="B172" s="72" t="str">
        <x:v>TABLE 17.</x:v>
      </x:c>
      <x:c r="C172" s="77" t="str">
        <x:v>Emotion classification F1.</x:v>
      </x:c>
      <x:c r="D172"/>
      <x:c r="E172"/>
      <x:c r="F172"/>
      <x:c r="G172"/>
      <x:c r="H172"/>
      <x:c r="I172"/>
      <x:c r="J172"/>
      <x:c r="K172"/>
      <x:c r="L172" s="67"/>
    </x:row>
    <x:row r="173" ht="21" customHeight="1">
      <x:c r="A173" s="67"/>
      <x:c r="B173" s="82" t="str">
        <x:v>Bengali: emotion_bn, n = 4,403</x:v>
      </x:c>
      <x:c r="C173"/>
      <x:c r="D173"/>
      <x:c r="E173"/>
      <x:c r="F173"/>
      <x:c r="G173"/>
      <x:c r="H173"/>
      <x:c r="I173"/>
      <x:c r="J173"/>
      <x:c r="K173"/>
      <x:c r="L173" s="67"/>
    </x:row>
    <x:row r="174" ht="9" customHeight="1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/>
      <x:c r="K174"/>
      <x:c r="L174" s="67"/>
    </x:row>
    <x:row r="175" ht="42" customHeight="1">
      <x:c r="A175" s="67"/>
      <x:c r="B175" s="88" t="str">
        <x:v>Model</x:v>
      </x:c>
      <x:c r="C175" s="90" t="str">
        <x:v>anger</x:v>
      </x:c>
      <x:c r="D175" s="90" t="str">
        <x:v>disgust</x:v>
      </x:c>
      <x:c r="E175" s="90" t="str">
        <x:v>fear</x:v>
      </x:c>
      <x:c r="F175" s="90" t="str">
        <x:v>joy</x:v>
      </x:c>
      <x:c r="G175" s="90" t="str">
        <x:v>sadness</x:v>
      </x:c>
      <x:c r="H175" s="90" t="str">
        <x:v>surprise</x:v>
      </x:c>
      <x:c r="I175" s="90" t="str">
        <x:v>Macro-F1</x:v>
      </x:c>
      <x:c r="J175"/>
      <x:c r="K175"/>
      <x:c r="L175" s="67"/>
    </x:row>
    <x:row r="176" ht="24" customHeight="1">
      <x:c r="A176" s="67"/>
      <x:c r="B176" s="92" t="str">
        <x:v>nimble:9b</x:v>
      </x:c>
      <x:c r="C176" s="97" t="n">
        <x:v>0.5204582651391162</x:v>
      </x:c>
      <x:c r="D176" s="97" t="n">
        <x:v>0.26986754966887416</x:v>
      </x:c>
      <x:c r="E176" s="97" t="n">
        <x:v>0.6513761467889908</x:v>
      </x:c>
      <x:c r="F176" s="97" t="n">
        <x:v>0.8010849909584087</x:v>
      </x:c>
      <x:c r="G176" s="97" t="n">
        <x:v>0.6329442282749675</x:v>
      </x:c>
      <x:c r="H176" s="97" t="n">
        <x:v>0.5971769815418024</x:v>
      </x:c>
      <x:c r="I176" s="97" t="n">
        <x:f>AVERAGE(C176:H176)</x:f>
        <x:v>0.5788180270620266</x:v>
      </x:c>
      <x:c r="J176"/>
      <x:c r="K176"/>
      <x:c r="L176" s="67"/>
    </x:row>
    <x:row r="177" ht="24" customHeight="1">
      <x:c r="A177" s="67"/>
      <x:c r="B177" s="92" t="str">
        <x:v>tev1:0.8b</x:v>
      </x:c>
      <x:c r="C177" s="97" t="n">
        <x:v>0.3333333333333333</x:v>
      </x:c>
      <x:c r="D177" s="97" t="n">
        <x:v>0.3930635838150289</x:v>
      </x:c>
      <x:c r="E177" s="97" t="n">
        <x:v>0.34108527131782945</x:v>
      </x:c>
      <x:c r="F177" s="97" t="n">
        <x:v>0.5987654320987654</x:v>
      </x:c>
      <x:c r="G177" s="97" t="n">
        <x:v>0.36600173460537727</x:v>
      </x:c>
      <x:c r="H177" s="97" t="n">
        <x:v>0.46415770609318996</x:v>
      </x:c>
      <x:c r="I177" s="97" t="n">
        <x:f>AVERAGE(C177:H177)</x:f>
        <x:v>0.4160678435439207</x:v>
      </x:c>
      <x:c r="J177"/>
      <x:c r="K177"/>
      <x:c r="L177" s="67"/>
    </x:row>
    <x:row r="178" ht="24" customHeight="1">
      <x:c r="A178" s="67"/>
      <x:c r="B178" s="92" t="str">
        <x:v>tev1:4b</x:v>
      </x:c>
      <x:c r="C178" s="97" t="n">
        <x:v>0.39751552795031053</x:v>
      </x:c>
      <x:c r="D178" s="102" t="n">
        <x:v>0.4984552008238929</x:v>
      </x:c>
      <x:c r="E178" s="97" t="n">
        <x:v>0.587426326129666</x:v>
      </x:c>
      <x:c r="F178" s="97" t="n">
        <x:v>0.7900780891134589</x:v>
      </x:c>
      <x:c r="G178" s="97" t="n">
        <x:v>0.6179183135704874</x:v>
      </x:c>
      <x:c r="H178" s="97" t="n">
        <x:v>0.5886442641946698</x:v>
      </x:c>
      <x:c r="I178" s="97" t="n">
        <x:f>AVERAGE(C178:H178)</x:f>
        <x:v>0.5800062869637476</x:v>
      </x:c>
      <x:c r="J178"/>
      <x:c r="K178"/>
      <x:c r="L178" s="67"/>
    </x:row>
    <x:row r="179" ht="24" customHeight="1">
      <x:c r="A179" s="67"/>
      <x:c r="B179" s="107" t="str">
        <x:v>typesafe/jev-1.13</x:v>
      </x:c>
      <x:c r="C179" s="116" t="n">
        <x:v>0.5581146223888591</x:v>
      </x:c>
      <x:c r="D179" s="111" t="n">
        <x:v>0.22689844464775846</x:v>
      </x:c>
      <x:c r="E179" s="116" t="n">
        <x:v>0.7638668779714739</x:v>
      </x:c>
      <x:c r="F179" s="116" t="n">
        <x:v>0.8367158671586716</x:v>
      </x:c>
      <x:c r="G179" s="116" t="n">
        <x:v>0.6874602164226608</x:v>
      </x:c>
      <x:c r="H179" s="116" t="n">
        <x:v>0.6532544378698225</x:v>
      </x:c>
      <x:c r="I179" s="116" t="n">
        <x:f>AVERAGE(C179:H179)</x:f>
        <x:v>0.6210517444098744</x:v>
      </x:c>
      <x:c r="J179"/>
      <x:c r="K179"/>
      <x:c r="L179" s="67"/>
    </x:row>
    <x:row r="180" ht="24" customHeight="1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/>
      <x:c r="K180"/>
      <x:c r="L180" s="67"/>
    </x:row>
    <x:row r="181" ht="24" customHeight="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/>
      <x:c r="K181"/>
      <x:c r="L181" s="67"/>
    </x:row>
    <x:row r="182" ht="29" customHeight="1">
      <x:c r="A182" s="67"/>
      <x:c r="B182" s="72" t="str">
        <x:v>TABLE 18.</x:v>
      </x:c>
      <x:c r="C182" s="77" t="str">
        <x:v>Emotion classification support.</x:v>
      </x:c>
      <x:c r="D182"/>
      <x:c r="E182"/>
      <x:c r="F182"/>
      <x:c r="G182"/>
      <x:c r="H182"/>
      <x:c r="I182"/>
      <x:c r="J182"/>
      <x:c r="K182"/>
      <x:c r="L182" s="67"/>
    </x:row>
    <x:row r="183" ht="21" customHeight="1">
      <x:c r="A183" s="67"/>
      <x:c r="B183" s="82" t="str">
        <x:v>Bengali: emotion_bn, n = 4,403</x:v>
      </x:c>
      <x:c r="C183"/>
      <x:c r="D183"/>
      <x:c r="E183"/>
      <x:c r="F183"/>
      <x:c r="G183"/>
      <x:c r="H183"/>
      <x:c r="I183"/>
      <x:c r="J183"/>
      <x:c r="K183"/>
      <x:c r="L183" s="67"/>
    </x:row>
    <x:row r="184" ht="9" customHeight="1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/>
      <x:c r="K184"/>
      <x:c r="L184" s="67"/>
    </x:row>
    <x:row r="185" ht="42" customHeight="1">
      <x:c r="A185" s="67"/>
      <x:c r="B185" s="88" t="str">
        <x:v>Model</x:v>
      </x:c>
      <x:c r="C185" s="90" t="str">
        <x:v>anger</x:v>
      </x:c>
      <x:c r="D185" s="90" t="str">
        <x:v>disgust</x:v>
      </x:c>
      <x:c r="E185" s="90" t="str">
        <x:v>fear</x:v>
      </x:c>
      <x:c r="F185" s="90" t="str">
        <x:v>joy</x:v>
      </x:c>
      <x:c r="G185" s="90" t="str">
        <x:v>sadness</x:v>
      </x:c>
      <x:c r="H185" s="90" t="str">
        <x:v>surprise</x:v>
      </x:c>
      <x:c r="I185" s="90" t="str">
        <x:v>Total</x:v>
      </x:c>
      <x:c r="J185"/>
      <x:c r="K185"/>
      <x:c r="L185" s="67"/>
    </x:row>
    <x:row r="186" ht="24" customHeight="1">
      <x:c r="A186" s="67"/>
      <x:c r="B186" s="92" t="str">
        <x:v>nimble:9b</x:v>
      </x:c>
      <x:c r="C186" s="128" t="n">
        <x:v>711</x:v>
      </x:c>
      <x:c r="D186" s="128" t="n">
        <x:v>878</x:v>
      </x:c>
      <x:c r="E186" s="128" t="n">
        <x:v>558</x:v>
      </x:c>
      <x:c r="F186" s="128" t="n">
        <x:v>1022</x:v>
      </x:c>
      <x:c r="G186" s="128" t="n">
        <x:v>786</x:v>
      </x:c>
      <x:c r="H186" s="128" t="n">
        <x:v>448</x:v>
      </x:c>
      <x:c r="I186" s="128" t="n">
        <x:f>SUM(C186:H186)</x:f>
        <x:v>4403</x:v>
      </x:c>
      <x:c r="J186"/>
      <x:c r="K186"/>
      <x:c r="L186" s="67"/>
    </x:row>
    <x:row r="187" ht="24" customHeight="1">
      <x:c r="A187" s="67"/>
      <x:c r="B187" s="92" t="str">
        <x:v>tev1:0.8b</x:v>
      </x:c>
      <x:c r="C187" s="128" t="n">
        <x:v>711</x:v>
      </x:c>
      <x:c r="D187" s="128" t="n">
        <x:v>878</x:v>
      </x:c>
      <x:c r="E187" s="128" t="n">
        <x:v>558</x:v>
      </x:c>
      <x:c r="F187" s="128" t="n">
        <x:v>1022</x:v>
      </x:c>
      <x:c r="G187" s="128" t="n">
        <x:v>786</x:v>
      </x:c>
      <x:c r="H187" s="128" t="n">
        <x:v>448</x:v>
      </x:c>
      <x:c r="I187" s="128" t="n">
        <x:f>SUM(C187:H187)</x:f>
        <x:v>4403</x:v>
      </x:c>
      <x:c r="J187"/>
      <x:c r="K187"/>
      <x:c r="L187" s="67"/>
    </x:row>
    <x:row r="188" ht="24" customHeight="1">
      <x:c r="A188" s="67"/>
      <x:c r="B188" s="92" t="str">
        <x:v>tev1:4b</x:v>
      </x:c>
      <x:c r="C188" s="128" t="n">
        <x:v>711</x:v>
      </x:c>
      <x:c r="D188" s="128" t="n">
        <x:v>878</x:v>
      </x:c>
      <x:c r="E188" s="128" t="n">
        <x:v>558</x:v>
      </x:c>
      <x:c r="F188" s="128" t="n">
        <x:v>1022</x:v>
      </x:c>
      <x:c r="G188" s="128" t="n">
        <x:v>786</x:v>
      </x:c>
      <x:c r="H188" s="128" t="n">
        <x:v>448</x:v>
      </x:c>
      <x:c r="I188" s="128" t="n">
        <x:f>SUM(C188:H188)</x:f>
        <x:v>4403</x:v>
      </x:c>
      <x:c r="J188"/>
      <x:c r="K188"/>
      <x:c r="L188" s="67"/>
    </x:row>
    <x:row r="189" ht="24" customHeight="1">
      <x:c r="A189" s="67"/>
      <x:c r="B189" s="107" t="str">
        <x:v>typesafe/jev-1.13</x:v>
      </x:c>
      <x:c r="C189" s="132" t="n">
        <x:v>711</x:v>
      </x:c>
      <x:c r="D189" s="132" t="n">
        <x:v>878</x:v>
      </x:c>
      <x:c r="E189" s="132" t="n">
        <x:v>558</x:v>
      </x:c>
      <x:c r="F189" s="132" t="n">
        <x:v>1022</x:v>
      </x:c>
      <x:c r="G189" s="132" t="n">
        <x:v>786</x:v>
      </x:c>
      <x:c r="H189" s="132" t="n">
        <x:v>448</x:v>
      </x:c>
      <x:c r="I189" s="132" t="n">
        <x:f>SUM(C189:H189)</x:f>
        <x:v>4403</x:v>
      </x:c>
      <x:c r="J189"/>
      <x:c r="K189"/>
      <x:c r="L189" s="67"/>
    </x:row>
    <x:row r="190" ht="24" customHeight="1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</x:row>
    <x:row r="191" ht="24" customHeight="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</x:row>
    <x:row r="192" ht="23" customHeight="1">
      <x:c r="A192" s="67"/>
      <x:c r="B192" s="82" t="str">
        <x:v>Macro-Precision, Macro-Recall and Macro-F1 are unweighted averages across the classes shown.</x:v>
      </x:c>
      <x:c r="C192"/>
      <x:c r="D192"/>
      <x:c r="E192"/>
      <x:c r="F192"/>
      <x:c r="G192"/>
      <x:c r="H192"/>
      <x:c r="I192"/>
      <x:c r="J192" s="67"/>
      <x:c r="K192" s="67"/>
      <x:c r="L192" s="67"/>
    </x:row>
    <x:row r="193" ht="23" customHeight="1">
      <x:c r="A193" s="67"/>
      <x:c r="B193" s="82" t="str">
        <x:v>Support is the number of true examples in each class. Total support is calculated across classes.</x:v>
      </x:c>
      <x:c r="C193"/>
      <x:c r="D193"/>
      <x:c r="E193"/>
      <x:c r="F193"/>
      <x:c r="G193"/>
      <x:c r="H193"/>
      <x:c r="I193"/>
      <x:c r="J193" s="67"/>
      <x:c r="K193" s="67"/>
      <x:c r="L193" s="67"/>
    </x:row>
    <x:row r="194" ht="23" customHeight="1">
      <x:c r="A194" s="67"/>
      <x:c r="B194" s="82" t="str">
        <x:v>Best scores are bold within each country and class; ties are included. Original class labels are retained.</x:v>
      </x:c>
      <x:c r="C194"/>
      <x:c r="D194"/>
      <x:c r="E194"/>
      <x:c r="F194"/>
      <x:c r="G194"/>
      <x:c r="H194"/>
      <x:c r="I194"/>
      <x:c r="J194" s="67"/>
      <x:c r="K194" s="67"/>
      <x:c r="L194" s="67"/>
    </x:row>
    <x:row r="195" ht="24" customHeight="1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</x:row>
    <x:row r="196" ht="24" customHeight="1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</x:row>
    <x:row r="197" ht="24" customHeight="1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</x:row>
    <x:row r="198" ht="24" customHeight="1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</x:row>
    <x:row r="199" ht="24" customHeight="1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</x:row>
    <x:row r="200" ht="24" customHeight="1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</x:row>
    <x:row r="201" ht="24" customHeight="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</x:row>
    <x:row r="202" ht="24" customHeight="1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</x:row>
    <x:row r="203" ht="24" customHeight="1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</x:row>
    <x:row r="204" ht="24" customHeight="1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</x:row>
    <x:row r="205" ht="24" customHeight="1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</x:row>
    <x:row r="206" ht="24" customHeight="1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</x:row>
    <x:row r="207" ht="24" customHeight="1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</x:row>
    <x:row r="208" ht="24" customHeight="1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</x:row>
    <x:row r="209" ht="24" customHeight="1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</x:row>
    <x:row r="210" ht="24" customHeight="1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</x:row>
    <x:row r="211" ht="24" customHeight="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</x:row>
    <x:row r="212" ht="24" customHeight="1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</x:row>
    <x:row r="213" ht="24" customHeight="1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</x:row>
    <x:row r="214" ht="24" customHeight="1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</x:row>
    <x:row r="215" ht="24" customHeight="1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</x:row>
    <x:row r="216" ht="24" customHeight="1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</x:row>
    <x:row r="217" ht="24" customHeight="1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</x:row>
    <x:row r="218" ht="24" customHeight="1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</x:row>
    <x:row r="219" ht="24" customHeight="1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</x:row>
    <x:row r="220" ht="24" customHeight="1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</x:row>
    <x:row r="221" ht="24" customHeight="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</x:row>
    <x:row r="222" ht="24" customHeight="1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</x:row>
    <x:row r="223" ht="24" customHeight="1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</x:row>
    <x:row r="224" ht="24" customHeight="1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</x:row>
    <x:row r="225" ht="24" customHeight="1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</x:row>
    <x:row r="226" ht="24" customHeight="1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</x:row>
    <x:row r="227" ht="24" customHeight="1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</x:row>
    <x:row r="228" ht="24" customHeight="1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</x:row>
    <x:row r="229" ht="24" customHeight="1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</x:row>
    <x:row r="230" ht="24" customHeight="1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</x:row>
    <x:row r="231" ht="24" customHeight="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</x:row>
    <x:row r="232" ht="24" customHeight="1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</x:row>
    <x:row r="233" ht="24" customHeight="1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</x:row>
    <x:row r="234" ht="24" customHeight="1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</x:row>
    <x:row r="235" ht="24" customHeight="1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</x:row>
    <x:row r="236" ht="24" customHeight="1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</x:row>
    <x:row r="237" ht="24" customHeight="1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</x:row>
    <x:row r="238" ht="24" customHeight="1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</x:row>
    <x:row r="239" ht="24" customHeight="1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</x:row>
    <x:row r="240" ht="24" customHeight="1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</x:row>
    <x:row r="241" ht="24" customHeight="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</x:row>
    <x:row r="242" ht="24" customHeight="1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</x:row>
    <x:row r="243" ht="24" customHeight="1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</x:row>
    <x:row r="244" ht="24" customHeight="1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</x:row>
    <x:row r="245" ht="24" customHeight="1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</x:row>
    <x:row r="246" ht="24" customHeight="1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</x:row>
    <x:row r="247" ht="24" customHeight="1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</x:row>
    <x:row r="248" ht="24" customHeight="1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</x:row>
    <x:row r="249" ht="24" customHeight="1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</x:row>
    <x:row r="250" ht="24" customHeight="1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</x:row>
    <x:row r="251" ht="24" customHeight="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</x:row>
    <x:row r="252" ht="24" customHeight="1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</x:row>
    <x:row r="253" ht="24" customHeight="1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</x:row>
    <x:row r="254" ht="24" customHeight="1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</x:row>
    <x:row r="255" ht="24" customHeight="1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</x:row>
    <x:row r="256" ht="24" customHeight="1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</x:row>
    <x:row r="257" ht="24" customHeight="1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</x:row>
    <x:row r="258" ht="24" customHeight="1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</x:row>
    <x:row r="259" ht="24" customHeight="1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</x:row>
    <x:row r="260" ht="24" customHeight="1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</x:row>
    <x:row r="261" ht="24" customHeight="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</x:row>
    <x:row r="262" ht="24" customHeight="1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</x:row>
    <x:row r="263" ht="24" customHeight="1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</x:row>
    <x:row r="264" ht="24" customHeight="1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</x:row>
    <x:row r="265" ht="24" customHeight="1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</x:row>
    <x:row r="266" ht="24" customHeight="1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</x:row>
    <x:row r="267" ht="24" customHeight="1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</x:row>
    <x:row r="268" ht="24" customHeight="1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</x:row>
    <x:row r="269" ht="24" customHeight="1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</x:row>
    <x:row r="270" ht="24" customHeight="1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</x:row>
    <x:row r="271" ht="24" customHeight="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</x:row>
    <x:row r="272" ht="24" customHeight="1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</x:row>
    <x:row r="273" ht="24" customHeight="1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</x:row>
    <x:row r="274" ht="24" customHeight="1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</x:row>
    <x:row r="275" ht="24" customHeight="1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</x:row>
    <x:row r="276" ht="24" customHeight="1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</x:row>
    <x:row r="277" ht="24" customHeight="1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</x:row>
    <x:row r="278" ht="24" customHeight="1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</x:row>
    <x:row r="279" ht="24" customHeight="1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</x:row>
    <x:row r="280" ht="24" customHeight="1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</x:row>
    <x:row r="281" ht="24" customHeight="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</x:row>
    <x:row r="282" ht="24" customHeight="1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</x:row>
    <x:row r="283" ht="24" customHeight="1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</x:row>
    <x:row r="284" ht="24" customHeight="1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</x:row>
    <x:row r="285" ht="24" customHeight="1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</x:row>
    <x:row r="286" ht="24" customHeight="1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</x:row>
    <x:row r="287" ht="24" customHeight="1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</x:row>
    <x:row r="288" ht="24" customHeight="1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</x:row>
    <x:row r="289" ht="24" customHeight="1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</x:row>
    <x:row r="290" ht="24" customHeight="1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</x:row>
    <x:row r="291" ht="24" customHeight="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</x:row>
    <x:row r="292" ht="24" customHeight="1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</x:row>
    <x:row r="293" ht="24" customHeight="1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</x:row>
    <x:row r="294" ht="24" customHeight="1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</x:row>
    <x:row r="295" ht="24" customHeight="1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</x:row>
    <x:row r="296" ht="24" customHeight="1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</x:row>
    <x:row r="297" ht="24" customHeight="1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</x:row>
    <x:row r="298" ht="24" customHeight="1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</x:row>
    <x:row r="299" ht="24" customHeight="1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</x:row>
    <x:row r="300" ht="24" customHeight="1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</x:row>
  </x:sheetData>
  <x:mergeCells>
    <x:mergeCell ref="C132:F132"/>
    <x:mergeCell ref="B113:F113"/>
    <x:mergeCell ref="C152:I152"/>
    <x:mergeCell ref="C122:F122"/>
    <x:mergeCell ref="C42:G42"/>
    <x:mergeCell ref="B83:H83"/>
    <x:mergeCell ref="B194:I194"/>
    <x:mergeCell ref="B3:F3"/>
    <x:mergeCell ref="B183:I183"/>
    <x:mergeCell ref="B193:I193"/>
    <x:mergeCell ref="C32:F32"/>
    <x:mergeCell ref="B104:H104"/>
    <x:mergeCell ref="B53:G53"/>
    <x:mergeCell ref="B63:E63"/>
    <x:mergeCell ref="C182:I182"/>
    <x:mergeCell ref="B163:I163"/>
    <x:mergeCell ref="B106:H106"/>
    <x:mergeCell ref="B153:I153"/>
    <x:mergeCell ref="B173:I173"/>
    <x:mergeCell ref="B23:F23"/>
    <x:mergeCell ref="C82:H82"/>
    <x:mergeCell ref="B13:F13"/>
    <x:mergeCell ref="C72:E72"/>
    <x:mergeCell ref="B93:H93"/>
    <x:mergeCell ref="B102:H102"/>
    <x:mergeCell ref="B105:H105"/>
    <x:mergeCell ref="C112:F112"/>
    <x:mergeCell ref="C92:H92"/>
    <x:mergeCell ref="C52:G52"/>
    <x:mergeCell ref="B143:F143"/>
    <x:mergeCell ref="C62:E62"/>
    <x:mergeCell ref="C22:F22"/>
    <x:mergeCell ref="B107:H107"/>
    <x:mergeCell ref="C142:F142"/>
    <x:mergeCell ref="B192:I192"/>
    <x:mergeCell ref="B133:F133"/>
    <x:mergeCell ref="B73:E73"/>
    <x:mergeCell ref="B33:F33"/>
    <x:mergeCell ref="C12:F12"/>
    <x:mergeCell ref="C172:I172"/>
    <x:mergeCell ref="B43:G43"/>
    <x:mergeCell ref="B123:F123"/>
    <x:mergeCell ref="C162:I162"/>
    <x:mergeCell ref="C2:F2"/>
    <x:mergeCell ref="B103:H103"/>
  </x:mergeCells>
  <x:conditionalFormatting sqref="C6:C9">
    <x:cfRule type="expression" dxfId="452" priority="1">
      <x:formula>C6=MAX(C$6:C$9)</x:formula>
    </x:cfRule>
  </x:conditionalFormatting>
  <x:conditionalFormatting sqref="D6:D9">
    <x:cfRule type="expression" dxfId="453" priority="2">
      <x:formula>D6=MAX(D$6:D$9)</x:formula>
    </x:cfRule>
  </x:conditionalFormatting>
  <x:conditionalFormatting sqref="E6:E9">
    <x:cfRule type="expression" dxfId="454" priority="3">
      <x:formula>E6=MAX(E$6:E$9)</x:formula>
    </x:cfRule>
  </x:conditionalFormatting>
  <x:conditionalFormatting sqref="F6:F9">
    <x:cfRule type="expression" dxfId="455" priority="4">
      <x:formula>F6=MAX(F$6:F$9)</x:formula>
    </x:cfRule>
  </x:conditionalFormatting>
  <x:conditionalFormatting sqref="C16:C19">
    <x:cfRule type="expression" dxfId="456" priority="5">
      <x:formula>C16=MAX(C$16:C$19)</x:formula>
    </x:cfRule>
  </x:conditionalFormatting>
  <x:conditionalFormatting sqref="D16:D19">
    <x:cfRule type="expression" dxfId="457" priority="6">
      <x:formula>D16=MAX(D$16:D$19)</x:formula>
    </x:cfRule>
  </x:conditionalFormatting>
  <x:conditionalFormatting sqref="E16:E19">
    <x:cfRule type="expression" dxfId="458" priority="7">
      <x:formula>E16=MAX(E$16:E$19)</x:formula>
    </x:cfRule>
  </x:conditionalFormatting>
  <x:conditionalFormatting sqref="F16:F19">
    <x:cfRule type="expression" dxfId="459" priority="8">
      <x:formula>F16=MAX(F$16:F$19)</x:formula>
    </x:cfRule>
  </x:conditionalFormatting>
  <x:conditionalFormatting sqref="C46:C49">
    <x:cfRule type="expression" dxfId="460" priority="9">
      <x:formula>C46=MIN(C$46:C$49)</x:formula>
    </x:cfRule>
  </x:conditionalFormatting>
  <x:conditionalFormatting sqref="D46:D49">
    <x:cfRule type="expression" dxfId="461" priority="10">
      <x:formula>D46=MIN(D$46:D$49)</x:formula>
    </x:cfRule>
  </x:conditionalFormatting>
  <x:conditionalFormatting sqref="E46:E49">
    <x:cfRule type="expression" dxfId="462" priority="11">
      <x:formula>E46=MIN(E$46:E$49)</x:formula>
    </x:cfRule>
  </x:conditionalFormatting>
  <x:conditionalFormatting sqref="F46:F49">
    <x:cfRule type="expression" dxfId="463" priority="12">
      <x:formula>F46=MAX(F$46:F$49)</x:formula>
    </x:cfRule>
  </x:conditionalFormatting>
  <x:conditionalFormatting sqref="C56:C59">
    <x:cfRule type="expression" dxfId="464" priority="13">
      <x:formula>C56=MIN(C$56:C$59)</x:formula>
    </x:cfRule>
  </x:conditionalFormatting>
  <x:conditionalFormatting sqref="D56:D59">
    <x:cfRule type="expression" dxfId="465" priority="14">
      <x:formula>D56=MIN(D$56:D$59)</x:formula>
    </x:cfRule>
  </x:conditionalFormatting>
  <x:conditionalFormatting sqref="E56:E59">
    <x:cfRule type="expression" dxfId="466" priority="15">
      <x:formula>E56=MIN(E$56:E$59)</x:formula>
    </x:cfRule>
  </x:conditionalFormatting>
  <x:conditionalFormatting sqref="F56:F59">
    <x:cfRule type="expression" dxfId="467" priority="16">
      <x:formula>F56=MAX(F$56:F$59)</x:formula>
    </x:cfRule>
  </x:conditionalFormatting>
  <x:conditionalFormatting sqref="C66:C69">
    <x:cfRule type="expression" dxfId="468" priority="17">
      <x:formula>C66=MIN(C$66:C$69)</x:formula>
    </x:cfRule>
  </x:conditionalFormatting>
  <x:conditionalFormatting sqref="D66:D69">
    <x:cfRule type="expression" dxfId="469" priority="18">
      <x:formula>D66=MIN(D$66:D$69)</x:formula>
    </x:cfRule>
  </x:conditionalFormatting>
  <x:conditionalFormatting sqref="E66:E69">
    <x:cfRule type="expression" dxfId="470" priority="19">
      <x:formula>E66=MIN(E$66:E$69)</x:formula>
    </x:cfRule>
  </x:conditionalFormatting>
  <x:conditionalFormatting sqref="C76:C79">
    <x:cfRule type="expression" dxfId="471" priority="20">
      <x:formula>C76=MIN(C$76:C$79)</x:formula>
    </x:cfRule>
  </x:conditionalFormatting>
  <x:conditionalFormatting sqref="D76:D79">
    <x:cfRule type="expression" dxfId="472" priority="21">
      <x:formula>D76=MIN(D$76:D$79)</x:formula>
    </x:cfRule>
  </x:conditionalFormatting>
  <x:conditionalFormatting sqref="E76:E79">
    <x:cfRule type="expression" dxfId="473" priority="22">
      <x:formula>E76=MIN(E$76:E$79)</x:formula>
    </x:cfRule>
  </x:conditionalFormatting>
  <x:conditionalFormatting sqref="C116:C119">
    <x:cfRule type="expression" dxfId="474" priority="23">
      <x:formula>C116=MAX(C$116:C$119)</x:formula>
    </x:cfRule>
  </x:conditionalFormatting>
  <x:conditionalFormatting sqref="D116:D119">
    <x:cfRule type="expression" dxfId="475" priority="24">
      <x:formula>D116=MAX(D$116:D$119)</x:formula>
    </x:cfRule>
  </x:conditionalFormatting>
  <x:conditionalFormatting sqref="E116:E119">
    <x:cfRule type="expression" dxfId="476" priority="25">
      <x:formula>E116=MAX(E$116:E$119)</x:formula>
    </x:cfRule>
  </x:conditionalFormatting>
  <x:conditionalFormatting sqref="F116:F119">
    <x:cfRule type="expression" dxfId="477" priority="26">
      <x:formula>F116=MAX(F$116:F$119)</x:formula>
    </x:cfRule>
  </x:conditionalFormatting>
  <x:conditionalFormatting sqref="C126:C129">
    <x:cfRule type="expression" dxfId="478" priority="27">
      <x:formula>C126=MAX(C$126:C$129)</x:formula>
    </x:cfRule>
  </x:conditionalFormatting>
  <x:conditionalFormatting sqref="D126:D129">
    <x:cfRule type="expression" dxfId="479" priority="28">
      <x:formula>D126=MAX(D$126:D$129)</x:formula>
    </x:cfRule>
  </x:conditionalFormatting>
  <x:conditionalFormatting sqref="E126:E129">
    <x:cfRule type="expression" dxfId="480" priority="29">
      <x:formula>E126=MAX(E$126:E$129)</x:formula>
    </x:cfRule>
  </x:conditionalFormatting>
  <x:conditionalFormatting sqref="F126:F129">
    <x:cfRule type="expression" dxfId="481" priority="30">
      <x:formula>F126=MAX(F$126:F$129)</x:formula>
    </x:cfRule>
  </x:conditionalFormatting>
  <x:conditionalFormatting sqref="C136:C139">
    <x:cfRule type="expression" dxfId="482" priority="31">
      <x:formula>C136=MAX(C$136:C$139)</x:formula>
    </x:cfRule>
  </x:conditionalFormatting>
  <x:conditionalFormatting sqref="D136:D139">
    <x:cfRule type="expression" dxfId="483" priority="32">
      <x:formula>D136=MAX(D$136:D$139)</x:formula>
    </x:cfRule>
  </x:conditionalFormatting>
  <x:conditionalFormatting sqref="E136:E139">
    <x:cfRule type="expression" dxfId="484" priority="33">
      <x:formula>E136=MAX(E$136:E$139)</x:formula>
    </x:cfRule>
  </x:conditionalFormatting>
  <x:conditionalFormatting sqref="F136:F139">
    <x:cfRule type="expression" dxfId="485" priority="34">
      <x:formula>F136=MAX(F$136:F$139)</x:formula>
    </x:cfRule>
  </x:conditionalFormatting>
  <x:conditionalFormatting sqref="C156:C159">
    <x:cfRule type="expression" dxfId="486" priority="35">
      <x:formula>C156=MAX(C$156:C$159)</x:formula>
    </x:cfRule>
  </x:conditionalFormatting>
  <x:conditionalFormatting sqref="D156:D159">
    <x:cfRule type="expression" dxfId="487" priority="36">
      <x:formula>D156=MAX(D$156:D$159)</x:formula>
    </x:cfRule>
  </x:conditionalFormatting>
  <x:conditionalFormatting sqref="E156:E159">
    <x:cfRule type="expression" dxfId="488" priority="37">
      <x:formula>E156=MAX(E$156:E$159)</x:formula>
    </x:cfRule>
  </x:conditionalFormatting>
  <x:conditionalFormatting sqref="F156:F159">
    <x:cfRule type="expression" dxfId="489" priority="38">
      <x:formula>F156=MAX(F$156:F$159)</x:formula>
    </x:cfRule>
  </x:conditionalFormatting>
  <x:conditionalFormatting sqref="G156:G159">
    <x:cfRule type="expression" dxfId="490" priority="39">
      <x:formula>G156=MAX(G$156:G$159)</x:formula>
    </x:cfRule>
  </x:conditionalFormatting>
  <x:conditionalFormatting sqref="H156:H159">
    <x:cfRule type="expression" dxfId="491" priority="40">
      <x:formula>H156=MAX(H$156:H$159)</x:formula>
    </x:cfRule>
  </x:conditionalFormatting>
  <x:conditionalFormatting sqref="I156:I159">
    <x:cfRule type="expression" dxfId="492" priority="41">
      <x:formula>I156=MAX(I$156:I$159)</x:formula>
    </x:cfRule>
  </x:conditionalFormatting>
  <x:conditionalFormatting sqref="C166:C169">
    <x:cfRule type="expression" dxfId="493" priority="42">
      <x:formula>C166=MAX(C$166:C$169)</x:formula>
    </x:cfRule>
  </x:conditionalFormatting>
  <x:conditionalFormatting sqref="D166:D169">
    <x:cfRule type="expression" dxfId="494" priority="43">
      <x:formula>D166=MAX(D$166:D$169)</x:formula>
    </x:cfRule>
  </x:conditionalFormatting>
  <x:conditionalFormatting sqref="E166:E169">
    <x:cfRule type="expression" dxfId="495" priority="44">
      <x:formula>E166=MAX(E$166:E$169)</x:formula>
    </x:cfRule>
  </x:conditionalFormatting>
  <x:conditionalFormatting sqref="F166:F169">
    <x:cfRule type="expression" dxfId="496" priority="45">
      <x:formula>F166=MAX(F$166:F$169)</x:formula>
    </x:cfRule>
  </x:conditionalFormatting>
  <x:conditionalFormatting sqref="G166:G169">
    <x:cfRule type="expression" dxfId="497" priority="46">
      <x:formula>G166=MAX(G$166:G$169)</x:formula>
    </x:cfRule>
  </x:conditionalFormatting>
  <x:conditionalFormatting sqref="H166:H169">
    <x:cfRule type="expression" dxfId="498" priority="47">
      <x:formula>H166=MAX(H$166:H$169)</x:formula>
    </x:cfRule>
  </x:conditionalFormatting>
  <x:conditionalFormatting sqref="I166:I169">
    <x:cfRule type="expression" dxfId="499" priority="48">
      <x:formula>I166=MAX(I$166:I$169)</x:formula>
    </x:cfRule>
  </x:conditionalFormatting>
  <x:conditionalFormatting sqref="C176:C179">
    <x:cfRule type="expression" dxfId="500" priority="49">
      <x:formula>C176=MAX(C$176:C$179)</x:formula>
    </x:cfRule>
  </x:conditionalFormatting>
  <x:conditionalFormatting sqref="D176:D179">
    <x:cfRule type="expression" dxfId="501" priority="50">
      <x:formula>D176=MAX(D$176:D$179)</x:formula>
    </x:cfRule>
  </x:conditionalFormatting>
  <x:conditionalFormatting sqref="E176:E179">
    <x:cfRule type="expression" dxfId="502" priority="51">
      <x:formula>E176=MAX(E$176:E$179)</x:formula>
    </x:cfRule>
  </x:conditionalFormatting>
  <x:conditionalFormatting sqref="F176:F179">
    <x:cfRule type="expression" dxfId="503" priority="52">
      <x:formula>F176=MAX(F$176:F$179)</x:formula>
    </x:cfRule>
  </x:conditionalFormatting>
  <x:conditionalFormatting sqref="G176:G179">
    <x:cfRule type="expression" dxfId="504" priority="53">
      <x:formula>G176=MAX(G$176:G$179)</x:formula>
    </x:cfRule>
  </x:conditionalFormatting>
  <x:conditionalFormatting sqref="H176:H179">
    <x:cfRule type="expression" dxfId="505" priority="54">
      <x:formula>H176=MAX(H$176:H$179)</x:formula>
    </x:cfRule>
  </x:conditionalFormatting>
  <x:conditionalFormatting sqref="I176:I179">
    <x:cfRule type="expression" dxfId="506" priority="55">
      <x:formula>I176=MAX(I$176:I$179)</x:formula>
    </x:cfRule>
  </x:conditionalFormatting>
  <x:pageMargins left="0.7" right="0.7" top="0.75" bottom="0.75" header="0.3" footer="0.3"/>
</x:worksheet>
</file>